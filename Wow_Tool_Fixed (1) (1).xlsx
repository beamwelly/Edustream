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Dashboard" sheetId="1" r:id="rId4"/>
    <sheet state="visible" name="📊 Retirement Age" sheetId="2" r:id="rId5"/>
    <sheet state="visible" name="💸 Cost of Delay" sheetId="3" r:id="rId6"/>
    <sheet state="visible" name="🏠 SIP &amp; Home Loan" sheetId="4" r:id="rId7"/>
    <sheet state="visible" name="🗓 Freedom Date" sheetId="5" r:id="rId8"/>
    <sheet state="visible" name="🎯 Goal Dashboard" sheetId="6" r:id="rId9"/>
    <sheet state="visible" name="🏦 Family Vault" sheetId="7" r:id="rId10"/>
  </sheets>
  <definedNames/>
  <calcPr/>
  <extLst>
    <ext uri="GoogleSheetsCustomDataVersion2">
      <go:sheetsCustomData xmlns:go="http://customooxmlschemas.google.com/" r:id="rId11" roundtripDataChecksum="YtEiemj7GaFi/GJ+t5+/NG/tTK4w1c2KJCCagNsJNZA="/>
    </ext>
  </extLst>
</workbook>
</file>

<file path=xl/sharedStrings.xml><?xml version="1.0" encoding="utf-8"?>
<sst xmlns="http://schemas.openxmlformats.org/spreadsheetml/2006/main" count="522" uniqueCount="441">
  <si>
    <t>💎  RETIREMENT WEALTH PLANNER  |  Your Complete Financial Freedom Toolkit</t>
  </si>
  <si>
    <t>India Edition · All figures in Indian Rupees (₹)</t>
  </si>
  <si>
    <t>📌  NAVIGATE YOUR WEALTH PLANNER — Click any sheet tab below</t>
  </si>
  <si>
    <t>⏰</t>
  </si>
  <si>
    <t>💸</t>
  </si>
  <si>
    <t>🏠</t>
  </si>
  <si>
    <t>Retirement Age
Predictor</t>
  </si>
  <si>
    <t>Cost of Delay
Calculator</t>
  </si>
  <si>
    <t>SIP + Home Loan
Impact</t>
  </si>
  <si>
    <t>Calculate your ideal
retirement age</t>
  </si>
  <si>
    <t>See the price of
procrastination</t>
  </si>
  <si>
    <t>Balance investments
vs EMI burden</t>
  </si>
  <si>
    <t>→ Go to '📊 Retirement Age' tab</t>
  </si>
  <si>
    <t>→ Go to '💸 Cost of Delay' tab</t>
  </si>
  <si>
    <t>→ Go to '🏠 SIP &amp; Home Loan' tab</t>
  </si>
  <si>
    <t>🗓</t>
  </si>
  <si>
    <t>🎯</t>
  </si>
  <si>
    <t>🏦</t>
  </si>
  <si>
    <t>Financial Freedom
Date</t>
  </si>
  <si>
    <t>Goal Visualization
Dashboard</t>
  </si>
  <si>
    <t>Family Financial
Vault</t>
  </si>
  <si>
    <t>Find your exact
FI date</t>
  </si>
  <si>
    <t>Track all financial
goals in one place</t>
  </si>
  <si>
    <t>Secure family docs
&amp; nominees</t>
  </si>
  <si>
    <t>→ Go to '🗓 Freedom Date' tab</t>
  </si>
  <si>
    <t>→ Go to '🎯 Goal Dashboard' tab</t>
  </si>
  <si>
    <t>→ Go to '🏦 Family Vault' tab</t>
  </si>
  <si>
    <t>📊  QUICK SUMMARY — Pulls from your inputs across all sheets</t>
  </si>
  <si>
    <t>Current Age</t>
  </si>
  <si>
    <t>Retirement Age</t>
  </si>
  <si>
    <t>Years to Retire</t>
  </si>
  <si>
    <t>Monthly SIP</t>
  </si>
  <si>
    <t>Corpus at Retirement</t>
  </si>
  <si>
    <t>Financial Freedom Date</t>
  </si>
  <si>
    <t>💡  PRO TIPS:  Blue cells = Your inputs  |  Black cells = Auto-calculated  |  All calculations use Indian tax-adjusted returns</t>
  </si>
  <si>
    <t>⏰  RETIREMENT AGE PREDICTOR</t>
  </si>
  <si>
    <t>Answer a few questions to find your optimal retirement age and corpus needed</t>
  </si>
  <si>
    <t>📋  PERSONAL &amp; FINANCIAL INPUTS</t>
  </si>
  <si>
    <t>📈  RETIREMENT AGE SENSITIVITY TABLE</t>
  </si>
  <si>
    <t>Current Age (years)</t>
  </si>
  <si>
    <t>Retire At Age</t>
  </si>
  <si>
    <t>Corpus Needed (₹)</t>
  </si>
  <si>
    <t>Expected Retirement Age</t>
  </si>
  <si>
    <t>Life Expectancy (years)</t>
  </si>
  <si>
    <t>Current Monthly Expenses (₹)</t>
  </si>
  <si>
    <t>Expected Inflation Rate</t>
  </si>
  <si>
    <t>Current Monthly Income (₹)</t>
  </si>
  <si>
    <t>Savings Rate (% of income)</t>
  </si>
  <si>
    <t>Expected Investment Return</t>
  </si>
  <si>
    <t>Post-Retirement Return</t>
  </si>
  <si>
    <t>📊  CALCULATED RESULTS</t>
  </si>
  <si>
    <t>Years to Retirement</t>
  </si>
  <si>
    <t>Years in Retirement</t>
  </si>
  <si>
    <t>Monthly Savings (₹)</t>
  </si>
  <si>
    <t>Monthly Expenses at Retirement (₹)</t>
  </si>
  <si>
    <t>Annual Expenses at Retirement (₹)</t>
  </si>
  <si>
    <t>📌  RULES OF THUMB</t>
  </si>
  <si>
    <t>Expenses Inflation-Adj Total (₹)</t>
  </si>
  <si>
    <t>• 25x Rule: Corpus = 25× Annual Expenses</t>
  </si>
  <si>
    <t>Current Corpus Value (₹)</t>
  </si>
  <si>
    <t>• 4% Rule: Withdraw max 4% per year</t>
  </si>
  <si>
    <t>Required Retirement Corpus (₹)</t>
  </si>
  <si>
    <t>• 100-Age Rule: Equity allocation %</t>
  </si>
  <si>
    <t>Corpus Surplus / (Deficit) (₹)</t>
  </si>
  <si>
    <t>• Save at least 20-30% of income</t>
  </si>
  <si>
    <t>Savings Corpus at Retirement (₹)</t>
  </si>
  <si>
    <t>• Emergency fund = 6 months expenses</t>
  </si>
  <si>
    <t>Corpus as Monthly Income Years</t>
  </si>
  <si>
    <t>• Term insurance = 15-20× annual income</t>
  </si>
  <si>
    <t>• Review plan every 2 years</t>
  </si>
  <si>
    <t>💸  COST OF DELAY CALCULATOR — Every Year Counts!</t>
  </si>
  <si>
    <t>Discover how much you lose by starting your SIP late — the compounding penalty in real ₹</t>
  </si>
  <si>
    <t>📋  BASE INPUTS</t>
  </si>
  <si>
    <t>Monthly SIP Amount (₹)</t>
  </si>
  <si>
    <t>Expected Annual Return</t>
  </si>
  <si>
    <t>Target Age for Corpus</t>
  </si>
  <si>
    <t>Current Age (to start)</t>
  </si>
  <si>
    <t>⏳  DELAY PENALTY TABLE — Start at Different Ages</t>
  </si>
  <si>
    <t>Start Age</t>
  </si>
  <si>
    <t>Years to Invest</t>
  </si>
  <si>
    <t>Total Invested (₹)</t>
  </si>
  <si>
    <t>Corpus at 60 (₹)</t>
  </si>
  <si>
    <t>vs Starting at 25 (₹)</t>
  </si>
  <si>
    <t>Delay Cost %</t>
  </si>
  <si>
    <t>—</t>
  </si>
  <si>
    <t>BASE</t>
  </si>
  <si>
    <t>5 years</t>
  </si>
  <si>
    <t>10 years</t>
  </si>
  <si>
    <t>15 years</t>
  </si>
  <si>
    <t>20 years</t>
  </si>
  <si>
    <t>25 years</t>
  </si>
  <si>
    <t>30 years</t>
  </si>
  <si>
    <t>35 years</t>
  </si>
  <si>
    <t>🏠  SIP + HOME LOAN IMPACT CALCULATOR</t>
  </si>
  <si>
    <t>Compare: What happens when you take a home loan vs continue pure SIP investments?</t>
  </si>
  <si>
    <t>📈  SIP CALCULATOR INPUTS</t>
  </si>
  <si>
    <t>🏡  HOME LOAN INPUTS</t>
  </si>
  <si>
    <t>Home Loan Amount (₹)</t>
  </si>
  <si>
    <t>SIP Annual Return (%)</t>
  </si>
  <si>
    <t>Loan Interest Rate (Annual %)</t>
  </si>
  <si>
    <t>SIP Duration (Years)</t>
  </si>
  <si>
    <t>Loan Tenure (Years)</t>
  </si>
  <si>
    <t>Step-up Rate (Annual %)</t>
  </si>
  <si>
    <t>Down Payment (₹)</t>
  </si>
  <si>
    <t>Property Appreciation Rate</t>
  </si>
  <si>
    <t>📊  SIP RESULTS (Without Home Loan)</t>
  </si>
  <si>
    <t>📊  HOME LOAN RESULTS</t>
  </si>
  <si>
    <t>Simple SIP Corpus (₹)</t>
  </si>
  <si>
    <t>Monthly EMI (₹)</t>
  </si>
  <si>
    <t>Total Amount Invested (₹)</t>
  </si>
  <si>
    <t>Total Amount Paid (₹)</t>
  </si>
  <si>
    <t>Wealth Gain (₹)</t>
  </si>
  <si>
    <t>Total Interest Paid (₹)</t>
  </si>
  <si>
    <t>Step-up SIP Corpus (₹)</t>
  </si>
  <si>
    <t>Property Value at Maturity (₹)</t>
  </si>
  <si>
    <t>Return Multiple</t>
  </si>
  <si>
    <t>Net Property Gain (₹)</t>
  </si>
  <si>
    <t>SIP if EMI invested instead (₹)</t>
  </si>
  <si>
    <t>SIP Advantage over Property (₹)</t>
  </si>
  <si>
    <t>⚖️  COMBINED STRATEGY: SIP + HOME LOAN</t>
  </si>
  <si>
    <t>Total Monthly Outflow (₹)</t>
  </si>
  <si>
    <t>SIP Corpus (20 years)</t>
  </si>
  <si>
    <t>Property Net Value (20 years)</t>
  </si>
  <si>
    <t>Combined Wealth (₹)</t>
  </si>
  <si>
    <t>Tax Benefit (Home Loan 80C+24b, ₹/yr)</t>
  </si>
  <si>
    <t>Effective EMI After Tax (₹/month)</t>
  </si>
  <si>
    <t>🗓  FINANCIAL FREEDOM DATE CALCULATOR</t>
  </si>
  <si>
    <t>Calculate the exact date you achieve Financial Independence — never work for money again!</t>
  </si>
  <si>
    <t>📋  YOUR FINANCIAL SNAPSHOT</t>
  </si>
  <si>
    <t>📊  FI PROGRESS TRACKER</t>
  </si>
  <si>
    <t>FI Target (₹)</t>
  </si>
  <si>
    <t>Birth Year</t>
  </si>
  <si>
    <t>Current Net Worth (₹)</t>
  </si>
  <si>
    <t>Remaining Gap (₹)</t>
  </si>
  <si>
    <t>Expected Annual Inflation</t>
  </si>
  <si>
    <t>% of FI Achieved</t>
  </si>
  <si>
    <t>Annual Investment Return</t>
  </si>
  <si>
    <t>Years Remaining (approx.)</t>
  </si>
  <si>
    <t>Post-FI Withdrawal Rate (4% rule)</t>
  </si>
  <si>
    <t>Monthly ₹ saved toward FI</t>
  </si>
  <si>
    <t>Current Net Worth / Savings (₹)</t>
  </si>
  <si>
    <t>FI Progress Milestone</t>
  </si>
  <si>
    <t>Monthly Savings / Investment (₹)</t>
  </si>
  <si>
    <t>Annual Savings Step-up Rate</t>
  </si>
  <si>
    <t>💰  MONTHLY INCOME AT FI</t>
  </si>
  <si>
    <t>Annual Withdrawal (4% rule) (₹)</t>
  </si>
  <si>
    <t>🎯  FINANCIAL INDEPENDENCE CALCULATIONS</t>
  </si>
  <si>
    <t>Monthly Income at FI (₹)</t>
  </si>
  <si>
    <t>FI Number (Required Corpus) (₹)</t>
  </si>
  <si>
    <t>Monthly Income (Inflation 10yr) (₹)</t>
  </si>
  <si>
    <t>FI Number (Inflation Adj. 20 yrs) (₹)</t>
  </si>
  <si>
    <t>Monthly Income (Inflation 20yr) (₹)</t>
  </si>
  <si>
    <t>Years to FI (approx.)</t>
  </si>
  <si>
    <t>Safe FI Buffer (1.5x needed) (₹)</t>
  </si>
  <si>
    <t>Years to FI (Step-up SIP)</t>
  </si>
  <si>
    <t>FI Achievement Year</t>
  </si>
  <si>
    <t>FI Age at Achievement</t>
  </si>
  <si>
    <t>🏆  FI MILESTONE TRACKER</t>
  </si>
  <si>
    <t>Milestone</t>
  </si>
  <si>
    <t>Example (₹60k/mo)</t>
  </si>
  <si>
    <t>Description</t>
  </si>
  <si>
    <t>1× Monthly Expenses</t>
  </si>
  <si>
    <t>Starter Emergency Fund</t>
  </si>
  <si>
    <t>6× Monthly Expenses</t>
  </si>
  <si>
    <t>Full Emergency Fund</t>
  </si>
  <si>
    <t>25× Annual Expenses</t>
  </si>
  <si>
    <t>Lean FI Number</t>
  </si>
  <si>
    <t>33× Annual Expenses</t>
  </si>
  <si>
    <t>Standard FI Number</t>
  </si>
  <si>
    <t>40× Annual Expenses</t>
  </si>
  <si>
    <t>Fat FI / Safety Margin</t>
  </si>
  <si>
    <t>🎯  GOAL VISUALIZATION DASHBOARD</t>
  </si>
  <si>
    <t>Track all your financial goals in one place — from emergencies to retirement</t>
  </si>
  <si>
    <t>📋  FINANCIAL GOALS TRACKER</t>
  </si>
  <si>
    <t>Goal Name</t>
  </si>
  <si>
    <t>Target Amount (₹)</t>
  </si>
  <si>
    <t>Current Saved (₹)</t>
  </si>
  <si>
    <t>Monthly SIP (₹)</t>
  </si>
  <si>
    <t>Timeline (Yrs)</t>
  </si>
  <si>
    <t>% Achieved</t>
  </si>
  <si>
    <t>Status</t>
  </si>
  <si>
    <t>Emergency Fund</t>
  </si>
  <si>
    <t>Child Education</t>
  </si>
  <si>
    <t>Home Down Payment</t>
  </si>
  <si>
    <t>Car Purchase</t>
  </si>
  <si>
    <t>Foreign Vacation</t>
  </si>
  <si>
    <t>Child Marriage</t>
  </si>
  <si>
    <t>Parents Healthcare</t>
  </si>
  <si>
    <t>Business Capital</t>
  </si>
  <si>
    <t>Retirement Corpus</t>
  </si>
  <si>
    <t>Wealth Creation</t>
  </si>
  <si>
    <t>📊 TOTALS</t>
  </si>
  <si>
    <t>⚡  GOAL PRIORITY MATRIX</t>
  </si>
  <si>
    <t>Goal</t>
  </si>
  <si>
    <t>Priority</t>
  </si>
  <si>
    <t>Urgency</t>
  </si>
  <si>
    <t>Impact</t>
  </si>
  <si>
    <t>Action</t>
  </si>
  <si>
    <t>🔴 Critical</t>
  </si>
  <si>
    <t>Immediate</t>
  </si>
  <si>
    <t>Protects Everything</t>
  </si>
  <si>
    <t>Build NOW</t>
  </si>
  <si>
    <t>Term Insurance</t>
  </si>
  <si>
    <t>Family Protection</t>
  </si>
  <si>
    <t>Buy NOW</t>
  </si>
  <si>
    <t>Retirement SIP</t>
  </si>
  <si>
    <t>🔴 High</t>
  </si>
  <si>
    <t>Long Term</t>
  </si>
  <si>
    <t>Financial Freedom</t>
  </si>
  <si>
    <t>Start SIP</t>
  </si>
  <si>
    <t>Health Insurance</t>
  </si>
  <si>
    <t>Medical Safety Net</t>
  </si>
  <si>
    <t>🟡 Medium</t>
  </si>
  <si>
    <t>10-15 yrs</t>
  </si>
  <si>
    <t>Child's Future</t>
  </si>
  <si>
    <t>SIP Monthly</t>
  </si>
  <si>
    <t>Home Purchase</t>
  </si>
  <si>
    <t>3-5 yrs</t>
  </si>
  <si>
    <t>Asset Creation</t>
  </si>
  <si>
    <t>Save Down</t>
  </si>
  <si>
    <t>Vacation/Car</t>
  </si>
  <si>
    <t>🟢 Low</t>
  </si>
  <si>
    <t>2-3 yrs</t>
  </si>
  <si>
    <t>Lifestyle</t>
  </si>
  <si>
    <t>Plan Ahead</t>
  </si>
  <si>
    <t>💼  RECOMMENDED ASSET ALLOCATION</t>
  </si>
  <si>
    <t>Asset Class</t>
  </si>
  <si>
    <t>Allocation %</t>
  </si>
  <si>
    <t>Purpose</t>
  </si>
  <si>
    <t>Horizon</t>
  </si>
  <si>
    <t>Notes</t>
  </si>
  <si>
    <t>Equity (Mutual Funds)</t>
  </si>
  <si>
    <t>40-60%</t>
  </si>
  <si>
    <t>High growth</t>
  </si>
  <si>
    <t>Debt (PPF, FD, Bonds)</t>
  </si>
  <si>
    <t>20-30%</t>
  </si>
  <si>
    <t>Capital safety</t>
  </si>
  <si>
    <t>1-5 yrs</t>
  </si>
  <si>
    <t>Real Estate</t>
  </si>
  <si>
    <t>10-20%</t>
  </si>
  <si>
    <t>Appreciation + income</t>
  </si>
  <si>
    <t>10+ yrs</t>
  </si>
  <si>
    <t>Gold / SGBs</t>
  </si>
  <si>
    <t>5-10%</t>
  </si>
  <si>
    <t>Inflation hedge</t>
  </si>
  <si>
    <t>Long term</t>
  </si>
  <si>
    <t>Cash / Liquid</t>
  </si>
  <si>
    <t>Emergency access</t>
  </si>
  <si>
    <t>0-6 months</t>
  </si>
  <si>
    <t>International Funds</t>
  </si>
  <si>
    <t>Global diversification</t>
  </si>
  <si>
    <t>7+ yrs</t>
  </si>
  <si>
    <t>🏦  FAMILY FINANCIAL VAULT — Secure &amp; Complete</t>
  </si>
  <si>
    <t>🔐 Store all family financial details, nominee info, insurance policies &amp; investments — CONFIDENTIAL</t>
  </si>
  <si>
    <t>👨‍👩‍👧‍👦  FAMILY MEMBER DETAILS</t>
  </si>
  <si>
    <t>Name</t>
  </si>
  <si>
    <t>Relation</t>
  </si>
  <si>
    <t>DOB</t>
  </si>
  <si>
    <t>PAN Number</t>
  </si>
  <si>
    <t>Aadhaar (last 4)</t>
  </si>
  <si>
    <t>Blood Group</t>
  </si>
  <si>
    <t>Rajesh Kumar</t>
  </si>
  <si>
    <t>Self</t>
  </si>
  <si>
    <t>15-Jan-1990</t>
  </si>
  <si>
    <t>ABCDE1234F</t>
  </si>
  <si>
    <t>XXXX</t>
  </si>
  <si>
    <t>O+</t>
  </si>
  <si>
    <t>Priya Kumar</t>
  </si>
  <si>
    <t>Spouse</t>
  </si>
  <si>
    <t>20-Mar-1993</t>
  </si>
  <si>
    <t>PQRST5678G</t>
  </si>
  <si>
    <t>B+</t>
  </si>
  <si>
    <t>Arjun Kumar</t>
  </si>
  <si>
    <t>Son</t>
  </si>
  <si>
    <t>10-Jun-2018</t>
  </si>
  <si>
    <t>Sunita Devi</t>
  </si>
  <si>
    <t>Mother</t>
  </si>
  <si>
    <t>05-Aug-1960</t>
  </si>
  <si>
    <t>LMNOP9012H</t>
  </si>
  <si>
    <t>A+</t>
  </si>
  <si>
    <t>← Enter Details</t>
  </si>
  <si>
    <t>🛡️  INSURANCE POLICIES</t>
  </si>
  <si>
    <t>Policy Type</t>
  </si>
  <si>
    <t>Company</t>
  </si>
  <si>
    <t>Policy No.</t>
  </si>
  <si>
    <t>Sum Assured (₹)</t>
  </si>
  <si>
    <t>Premium/Year (₹)</t>
  </si>
  <si>
    <t>Maturity/Expiry</t>
  </si>
  <si>
    <t>Term Life Insurance</t>
  </si>
  <si>
    <t>LIC / HDFC Life</t>
  </si>
  <si>
    <t>TRM2024001</t>
  </si>
  <si>
    <t>2060</t>
  </si>
  <si>
    <t>Star Health</t>
  </si>
  <si>
    <t>HLT2024002</t>
  </si>
  <si>
    <t>Annual Renewal</t>
  </si>
  <si>
    <t>Critical Illness</t>
  </si>
  <si>
    <t>HDFC ERGO</t>
  </si>
  <si>
    <t>CI2024003</t>
  </si>
  <si>
    <t>2050</t>
  </si>
  <si>
    <t>Home Insurance</t>
  </si>
  <si>
    <t>Bajaj Allianz</t>
  </si>
  <si>
    <t>HOM2024004</t>
  </si>
  <si>
    <t>Vehicle Insurance</t>
  </si>
  <si>
    <t>ICICI Lombard</t>
  </si>
  <si>
    <t>VEH2024005</t>
  </si>
  <si>
    <t>Personal Accident</t>
  </si>
  <si>
    <t>New India</t>
  </si>
  <si>
    <t>PA2024006</t>
  </si>
  <si>
    <t>Total Life Cover (₹)</t>
  </si>
  <si>
    <t>📈  INVESTMENT PORTFOLIO</t>
  </si>
  <si>
    <t>Investment Type</t>
  </si>
  <si>
    <t>Scheme/Name</t>
  </si>
  <si>
    <t>Account/Folio No.</t>
  </si>
  <si>
    <t>Current Value (₹)</t>
  </si>
  <si>
    <t>Nominee</t>
  </si>
  <si>
    <t>Institution</t>
  </si>
  <si>
    <t>EPF / PF</t>
  </si>
  <si>
    <t>Employees Provident Fund</t>
  </si>
  <si>
    <t>PF12345678</t>
  </si>
  <si>
    <t>EPFO</t>
  </si>
  <si>
    <t>PPF</t>
  </si>
  <si>
    <t>Public Provident Fund</t>
  </si>
  <si>
    <t>PPF98765432</t>
  </si>
  <si>
    <t>SBI</t>
  </si>
  <si>
    <t>Mutual Fund - Equity</t>
  </si>
  <si>
    <t>Parag Parikh Flexi Cap</t>
  </si>
  <si>
    <t>MF1234567</t>
  </si>
  <si>
    <t>PPFAS AMC</t>
  </si>
  <si>
    <t>Mutual Fund - Debt</t>
  </si>
  <si>
    <t>HDFC Short Term Debt</t>
  </si>
  <si>
    <t>MF7654321</t>
  </si>
  <si>
    <t>HDFC AMC</t>
  </si>
  <si>
    <t>Direct Equity</t>
  </si>
  <si>
    <t>NSE/BSE Portfolio</t>
  </si>
  <si>
    <t>DEMAT001234</t>
  </si>
  <si>
    <t>Zerodha</t>
  </si>
  <si>
    <t>NPS</t>
  </si>
  <si>
    <t>National Pension Scheme</t>
  </si>
  <si>
    <t>NPS123456789</t>
  </si>
  <si>
    <t>SBI Pension</t>
  </si>
  <si>
    <t>FD / RD</t>
  </si>
  <si>
    <t>Fixed Deposit</t>
  </si>
  <si>
    <t>FD98765</t>
  </si>
  <si>
    <t>HDFC Bank</t>
  </si>
  <si>
    <t>Gold / SGB</t>
  </si>
  <si>
    <t>Sovereign Gold Bonds</t>
  </si>
  <si>
    <t>SGB2022-23</t>
  </si>
  <si>
    <t>RBI / NSE</t>
  </si>
  <si>
    <t>Flat - Brigade Metropolis</t>
  </si>
  <si>
    <t>KA/BLR/2020</t>
  </si>
  <si>
    <t>Brigade Group</t>
  </si>
  <si>
    <t>📊 Total Portfolio Value (₹)</t>
  </si>
  <si>
    <t>📂  IMPORTANT DOCUMENTS CHECKLIST</t>
  </si>
  <si>
    <t>Document</t>
  </si>
  <si>
    <t>Location</t>
  </si>
  <si>
    <t>Last Updated</t>
  </si>
  <si>
    <t>Digital Copy</t>
  </si>
  <si>
    <t>Will / Testament</t>
  </si>
  <si>
    <t>Bank Locker / Advocate</t>
  </si>
  <si>
    <t>Jan 2024</t>
  </si>
  <si>
    <t>Google Drive/Will</t>
  </si>
  <si>
    <t>✅ Done</t>
  </si>
  <si>
    <t>Property Documents</t>
  </si>
  <si>
    <t>Bank Locker</t>
  </si>
  <si>
    <t>2020</t>
  </si>
  <si>
    <t>Google Drive/Property</t>
  </si>
  <si>
    <t>Aadhaar Cards</t>
  </si>
  <si>
    <t>Home Safe</t>
  </si>
  <si>
    <t>2023</t>
  </si>
  <si>
    <t>DigiLocker</t>
  </si>
  <si>
    <t>PAN Cards</t>
  </si>
  <si>
    <t>Passports</t>
  </si>
  <si>
    <t>2022</t>
  </si>
  <si>
    <t>Google Drive/Passports</t>
  </si>
  <si>
    <t>Marriage Certificate</t>
  </si>
  <si>
    <t>2019</t>
  </si>
  <si>
    <t>Google Drive/Legal</t>
  </si>
  <si>
    <t>Birth Certificates</t>
  </si>
  <si>
    <t>2018</t>
  </si>
  <si>
    <t>Educational Certificates</t>
  </si>
  <si>
    <t>2015</t>
  </si>
  <si>
    <t>Google Drive/Education</t>
  </si>
  <si>
    <t>Vehicle RC &amp; Insurance</t>
  </si>
  <si>
    <t>Car Glove Box</t>
  </si>
  <si>
    <t>2024</t>
  </si>
  <si>
    <t>IT Returns (Last 3 yrs)</t>
  </si>
  <si>
    <t>Folder/Accountant</t>
  </si>
  <si>
    <t>Google Drive/Tax</t>
  </si>
  <si>
    <t>🆘  EMERGENCY CONTACTS &amp; NOMINEES</t>
  </si>
  <si>
    <t>Mobile</t>
  </si>
  <si>
    <t>Email</t>
  </si>
  <si>
    <t>Role/Purpose</t>
  </si>
  <si>
    <t>+91-98765-43210</t>
  </si>
  <si>
    <t>priya@email.com</t>
  </si>
  <si>
    <t>Primary Nominee</t>
  </si>
  <si>
    <t>Ramesh Kumar</t>
  </si>
  <si>
    <t>Father</t>
  </si>
  <si>
    <t>+91-87654-32109</t>
  </si>
  <si>
    <t>ramesh@email.com</t>
  </si>
  <si>
    <t>Secondary Nominee</t>
  </si>
  <si>
    <t>CA Suresh Gupta</t>
  </si>
  <si>
    <t>Chartered Accountant</t>
  </si>
  <si>
    <t>+91-76543-21098</t>
  </si>
  <si>
    <t>ca@firm.com</t>
  </si>
  <si>
    <t>Tax/Finance Advisor</t>
  </si>
  <si>
    <t>Adv. Meena Sharma</t>
  </si>
  <si>
    <t>Lawyer / Advocate</t>
  </si>
  <si>
    <t>+91-65432-10987</t>
  </si>
  <si>
    <t>adv@law.com</t>
  </si>
  <si>
    <t>Will Executor</t>
  </si>
  <si>
    <t>Dr. Aruna Mehta</t>
  </si>
  <si>
    <t>Family Doctor</t>
  </si>
  <si>
    <t>+91-54321-09876</t>
  </si>
  <si>
    <t>dr@hospital.com</t>
  </si>
  <si>
    <t>Medical Contact</t>
  </si>
  <si>
    <t>🏦  BANK ACCOUNTS &amp; CREDIT CARDS</t>
  </si>
  <si>
    <t>Bank / Card</t>
  </si>
  <si>
    <t>Account Type</t>
  </si>
  <si>
    <t>Account No (last 4)</t>
  </si>
  <si>
    <t>Branch / Limit</t>
  </si>
  <si>
    <t>Nominee / Credit Limit</t>
  </si>
  <si>
    <t>Savings Account</t>
  </si>
  <si>
    <t>XXXX 4521</t>
  </si>
  <si>
    <t>Indiranagar, Blr</t>
  </si>
  <si>
    <t>✅ Active</t>
  </si>
  <si>
    <t>Salary Account</t>
  </si>
  <si>
    <t>XXXX 7832</t>
  </si>
  <si>
    <t>MG Road, Blr</t>
  </si>
  <si>
    <t>ICICI Bank</t>
  </si>
  <si>
    <t>XXXX 3341</t>
  </si>
  <si>
    <t>Koramangala, Blr</t>
  </si>
  <si>
    <t>HDFC Credit Card</t>
  </si>
  <si>
    <t>Credit Card</t>
  </si>
  <si>
    <t>XXXX 1234</t>
  </si>
  <si>
    <t>₹3L limit</t>
  </si>
  <si>
    <t>N/A</t>
  </si>
  <si>
    <t>SBI Credit Card</t>
  </si>
  <si>
    <t>XXXX 5678</t>
  </si>
  <si>
    <t>₹2L limit</t>
  </si>
  <si>
    <t>🔐 SECURITY NOTE: Keep this file password-protected. Never store actual passwords here. Use a password manager.</t>
  </si>
  <si>
    <t>📅 REVIEW REMINDER: Update this vault annually (every January) or after any major life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</si>
</sst>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&quot; yrs&quot;"/>
    <numFmt numFmtId="165" formatCode="\₹#,##0"/>
    <numFmt numFmtId="166" formatCode="0.0%"/>
    <numFmt numFmtId="167" formatCode="0.0&quot; yrs&quot;"/>
    <numFmt numFmtId="168" formatCode="0.00\x"/>
    <numFmt numFmtId="169" formatCode="0.0"/>
  </numFmts>
  <fonts count="39">
    <font>
      <sz val="11.0"/>
      <color theme="1"/>
      <name val="Calibri"/>
      <scheme val="minor"/>
    </font>
    <font>
      <b/>
      <sz val="20.0"/>
      <color rgb="FFD4AF37"/>
      <name val="Arial"/>
    </font>
    <font/>
    <font>
      <i/>
      <sz val="10.0"/>
      <color rgb="FFD4AF37"/>
      <name val="Arial"/>
    </font>
    <font>
      <b/>
      <sz val="12.0"/>
      <color rgb="FFFFFFFF"/>
      <name val="Arial"/>
    </font>
    <font>
      <sz val="11.0"/>
      <color theme="1"/>
      <name val="Calibri"/>
    </font>
    <font>
      <sz val="22.0"/>
      <color theme="1"/>
      <name val="Arial"/>
    </font>
    <font>
      <i/>
      <sz val="10.0"/>
      <color rgb="FF333333"/>
      <name val="Arial"/>
    </font>
    <font>
      <b/>
      <sz val="10.0"/>
      <color rgb="FF0A7E8C"/>
      <name val="Arial"/>
    </font>
    <font>
      <b/>
      <sz val="10.0"/>
      <color rgb="FFB5312C"/>
      <name val="Arial"/>
    </font>
    <font>
      <b/>
      <sz val="10.0"/>
      <color rgb="FF6B4C9A"/>
      <name val="Arial"/>
    </font>
    <font>
      <b/>
      <sz val="10.0"/>
      <color rgb="FF2D6A4F"/>
      <name val="Arial"/>
    </font>
    <font>
      <b/>
      <sz val="10.0"/>
      <color rgb="FFE07B2A"/>
      <name val="Arial"/>
    </font>
    <font>
      <b/>
      <sz val="10.0"/>
      <color rgb="FF1B2A4A"/>
      <name val="Arial"/>
    </font>
    <font>
      <b/>
      <sz val="9.0"/>
      <color rgb="FFFFFFFF"/>
      <name val="Arial"/>
    </font>
    <font>
      <b/>
      <sz val="13.0"/>
      <color rgb="FF1B2A4A"/>
      <name val="Arial"/>
    </font>
    <font>
      <i/>
      <sz val="10.0"/>
      <color rgb="FF555555"/>
      <name val="Arial"/>
    </font>
    <font>
      <b/>
      <sz val="18.0"/>
      <color rgb="FFD4AF37"/>
      <name val="Arial"/>
    </font>
    <font>
      <i/>
      <sz val="11.0"/>
      <color rgb="FFFFFFFF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FF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i/>
      <sz val="10.0"/>
      <color rgb="FF000000"/>
      <name val="Arial"/>
    </font>
    <font>
      <b/>
      <sz val="11.0"/>
      <color rgb="FF2D6A4F"/>
      <name val="Arial"/>
    </font>
    <font>
      <sz val="11.0"/>
      <color rgb="FFB5312C"/>
      <name val="Arial"/>
    </font>
    <font>
      <b/>
      <sz val="12.0"/>
      <color rgb="FFB5312C"/>
      <name val="Arial"/>
    </font>
    <font>
      <b/>
      <sz val="10.0"/>
      <color rgb="FF000000"/>
      <name val="Arial"/>
    </font>
    <font>
      <sz val="10.0"/>
      <color rgb="FF1B2A4A"/>
      <name val="Arial"/>
    </font>
    <font>
      <b/>
      <sz val="11.0"/>
      <color rgb="FF1B2A4A"/>
      <name val="Arial"/>
    </font>
    <font>
      <b/>
      <sz val="14.0"/>
      <color rgb="FF1B2A4A"/>
      <name val="Arial"/>
    </font>
    <font>
      <sz val="10.0"/>
      <color rgb="FF000000"/>
      <name val="Arial"/>
    </font>
    <font>
      <i/>
      <sz val="11.0"/>
      <color rgb="FFD4AF37"/>
      <name val="Arial"/>
    </font>
    <font>
      <sz val="10.0"/>
      <color rgb="FF0000FF"/>
      <name val="Arial"/>
    </font>
    <font>
      <i/>
      <sz val="10.0"/>
      <color rgb="FFA0A0A0"/>
      <name val="Arial"/>
    </font>
    <font>
      <b/>
      <sz val="12.0"/>
      <color rgb="FFD4AF37"/>
      <name val="Arial"/>
    </font>
    <font>
      <b/>
      <sz val="13.0"/>
      <color rgb="FFFFFFFF"/>
      <name val="Arial"/>
    </font>
    <font>
      <sz val="10.0"/>
      <color rgb="FF008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4272"/>
        <bgColor rgb="FF2E4272"/>
      </patternFill>
    </fill>
    <fill>
      <patternFill patternType="solid">
        <fgColor rgb="FF0A7E8C"/>
        <bgColor rgb="FF0A7E8C"/>
      </patternFill>
    </fill>
    <fill>
      <patternFill patternType="solid">
        <fgColor rgb="FFB5312C"/>
        <bgColor rgb="FFB5312C"/>
      </patternFill>
    </fill>
    <fill>
      <patternFill patternType="solid">
        <fgColor rgb="FF6B4C9A"/>
        <bgColor rgb="FF6B4C9A"/>
      </patternFill>
    </fill>
    <fill>
      <patternFill patternType="solid">
        <fgColor rgb="FFD0F0F4"/>
        <bgColor rgb="FFD0F0F4"/>
      </patternFill>
    </fill>
    <fill>
      <patternFill patternType="solid">
        <fgColor rgb="FFF8D7DA"/>
        <bgColor rgb="FFF8D7DA"/>
      </patternFill>
    </fill>
    <fill>
      <patternFill patternType="solid">
        <fgColor rgb="FFE8E0F7"/>
        <bgColor rgb="FFE8E0F7"/>
      </patternFill>
    </fill>
    <fill>
      <patternFill patternType="solid">
        <fgColor rgb="FF2D6A4F"/>
        <bgColor rgb="FF2D6A4F"/>
      </patternFill>
    </fill>
    <fill>
      <patternFill patternType="solid">
        <fgColor rgb="FFE07B2A"/>
        <bgColor rgb="FFE07B2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FFF9E6"/>
        <bgColor rgb="FFFFF9E6"/>
      </patternFill>
    </fill>
    <fill>
      <patternFill patternType="solid">
        <fgColor rgb="FFF0F7FF"/>
        <bgColor rgb="FFF0F7FF"/>
      </patternFill>
    </fill>
    <fill>
      <patternFill patternType="solid">
        <fgColor rgb="FFFFFFFF"/>
        <bgColor rgb="FFFFFFFF"/>
      </patternFill>
    </fill>
    <fill>
      <patternFill patternType="solid">
        <fgColor rgb="FFD4AF37"/>
        <bgColor rgb="FFD4AF37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medium">
        <color rgb="FF0A7E8C"/>
      </left>
      <top style="medium">
        <color rgb="FF0A7E8C"/>
      </top>
      <bottom style="medium">
        <color rgb="FF0A7E8C"/>
      </bottom>
    </border>
    <border>
      <right/>
      <top style="medium">
        <color rgb="FF0A7E8C"/>
      </top>
      <bottom style="medium">
        <color rgb="FF0A7E8C"/>
      </bottom>
    </border>
    <border>
      <left style="medium">
        <color rgb="FFB5312C"/>
      </left>
      <top style="medium">
        <color rgb="FFB5312C"/>
      </top>
      <bottom style="medium">
        <color rgb="FFB5312C"/>
      </bottom>
    </border>
    <border>
      <right/>
      <top style="medium">
        <color rgb="FFB5312C"/>
      </top>
      <bottom style="medium">
        <color rgb="FFB5312C"/>
      </bottom>
    </border>
    <border>
      <left style="medium">
        <color rgb="FF6B4C9A"/>
      </left>
      <top style="medium">
        <color rgb="FF6B4C9A"/>
      </top>
      <bottom style="medium">
        <color rgb="FF6B4C9A"/>
      </bottom>
    </border>
    <border>
      <right/>
      <top style="medium">
        <color rgb="FF6B4C9A"/>
      </top>
      <bottom style="medium">
        <color rgb="FF6B4C9A"/>
      </bottom>
    </border>
    <border>
      <left style="medium">
        <color rgb="FF2D6A4F"/>
      </left>
      <top style="medium">
        <color rgb="FF2D6A4F"/>
      </top>
      <bottom style="medium">
        <color rgb="FF2D6A4F"/>
      </bottom>
    </border>
    <border>
      <right/>
      <top style="medium">
        <color rgb="FF2D6A4F"/>
      </top>
      <bottom style="medium">
        <color rgb="FF2D6A4F"/>
      </bottom>
    </border>
    <border>
      <left style="medium">
        <color rgb="FFE07B2A"/>
      </left>
      <top style="medium">
        <color rgb="FFE07B2A"/>
      </top>
      <bottom style="medium">
        <color rgb="FFE07B2A"/>
      </bottom>
    </border>
    <border>
      <right/>
      <top style="medium">
        <color rgb="FFE07B2A"/>
      </top>
      <bottom style="medium">
        <color rgb="FFE07B2A"/>
      </bottom>
    </border>
    <border>
      <left style="medium">
        <color rgb="FF1B2A4A"/>
      </left>
      <top style="medium">
        <color rgb="FF1B2A4A"/>
      </top>
      <bottom style="medium">
        <color rgb="FF1B2A4A"/>
      </bottom>
    </border>
    <border>
      <right/>
      <top style="medium">
        <color rgb="FF1B2A4A"/>
      </top>
      <bottom style="medium">
        <color rgb="FF1B2A4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D4AF37"/>
      </left>
      <right style="medium">
        <color rgb="FFD4AF37"/>
      </right>
      <top style="medium">
        <color rgb="FFD4AF37"/>
      </top>
      <bottom style="medium">
        <color rgb="FFD4AF37"/>
      </bottom>
    </border>
    <border>
      <left style="thin">
        <color rgb="FF1B2A4A"/>
      </left>
      <top style="thin">
        <color rgb="FF1B2A4A"/>
      </top>
      <bottom style="thin">
        <color rgb="FF1B2A4A"/>
      </bottom>
    </border>
    <border>
      <right style="thin">
        <color rgb="FF1B2A4A"/>
      </right>
      <top style="thin">
        <color rgb="FF1B2A4A"/>
      </top>
      <bottom style="thin">
        <color rgb="FF1B2A4A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1B2A4A"/>
      </top>
      <bottom style="thin">
        <color rgb="FF1B2A4A"/>
      </bottom>
    </border>
    <border>
      <top style="medium">
        <color rgb="FFB5312C"/>
      </top>
      <bottom style="medium">
        <color rgb="FFB5312C"/>
      </bottom>
    </border>
    <border>
      <top style="thin">
        <color rgb="FFD0D0D0"/>
      </top>
      <bottom style="thin">
        <color rgb="FFD0D0D0"/>
      </bottom>
    </border>
    <border>
      <left style="medium">
        <color rgb="FFD4AF37"/>
      </left>
      <top style="medium">
        <color rgb="FFD4AF37"/>
      </top>
      <bottom style="medium">
        <color rgb="FFD4AF37"/>
      </bottom>
    </border>
    <border>
      <top style="medium">
        <color rgb="FFD4AF37"/>
      </top>
      <bottom style="medium">
        <color rgb="FFD4AF37"/>
      </bottom>
    </border>
    <border>
      <right/>
      <top style="medium">
        <color rgb="FFD4AF37"/>
      </top>
      <bottom style="medium">
        <color rgb="FFD4AF37"/>
      </bottom>
    </border>
    <border>
      <left style="thick">
        <color rgb="FF1B2A4A"/>
      </left>
      <top style="thick">
        <color rgb="FF1B2A4A"/>
      </top>
    </border>
    <border>
      <right/>
      <top style="thick">
        <color rgb="FF1B2A4A"/>
      </top>
    </border>
    <border>
      <left style="thick">
        <color rgb="FF1B2A4A"/>
      </left>
      <bottom/>
    </border>
    <border>
      <right/>
      <top style="thin">
        <color rgb="FFD0D0D0"/>
      </top>
      <bottom style="thin">
        <color rgb="FFD0D0D0"/>
      </bottom>
    </border>
    <border>
      <right style="medium">
        <color rgb="FFD4AF37"/>
      </right>
      <top style="medium">
        <color rgb="FFD4AF37"/>
      </top>
      <bottom style="medium">
        <color rgb="FFD4AF37"/>
      </bottom>
    </border>
    <border>
      <left style="thin">
        <color rgb="FFD4AF37"/>
      </left>
      <top style="thin">
        <color rgb="FFD4AF37"/>
      </top>
      <bottom style="thin">
        <color rgb="FFD4AF37"/>
      </bottom>
    </border>
    <border>
      <right style="thin">
        <color rgb="FFD4AF37"/>
      </right>
      <top style="thin">
        <color rgb="FFD4AF37"/>
      </top>
      <bottom style="thin">
        <color rgb="FFD4AF37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8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7" fontId="8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10" fillId="8" fontId="9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12" fillId="9" fontId="10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" fillId="10" fontId="6" numFmtId="0" xfId="0" applyAlignment="1" applyBorder="1" applyFill="1" applyFont="1">
      <alignment horizontal="center" shrinkToFit="0" vertical="center" wrapText="0"/>
    </xf>
    <xf borderId="1" fillId="11" fontId="6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10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center" shrinkToFit="0" vertical="center" wrapText="1"/>
    </xf>
    <xf borderId="14" fillId="12" fontId="11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6" fillId="13" fontId="12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8" fillId="14" fontId="13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1" fillId="10" fontId="4" numFmtId="0" xfId="0" applyAlignment="1" applyBorder="1" applyFont="1">
      <alignment horizontal="center" shrinkToFit="0" vertical="center" wrapText="0"/>
    </xf>
    <xf borderId="20" fillId="3" fontId="14" numFmtId="0" xfId="0" applyAlignment="1" applyBorder="1" applyFont="1">
      <alignment horizontal="center" shrinkToFit="0" vertical="center" wrapText="1"/>
    </xf>
    <xf borderId="21" fillId="13" fontId="15" numFmtId="3" xfId="0" applyAlignment="1" applyBorder="1" applyFont="1" applyNumberFormat="1">
      <alignment horizontal="center" shrinkToFit="0" vertical="center" wrapText="0"/>
    </xf>
    <xf borderId="21" fillId="13" fontId="15" numFmtId="164" xfId="0" applyAlignment="1" applyBorder="1" applyFont="1" applyNumberFormat="1">
      <alignment horizontal="center" shrinkToFit="0" vertical="center" wrapText="0"/>
    </xf>
    <xf borderId="21" fillId="13" fontId="15" numFmtId="165" xfId="0" applyAlignment="1" applyBorder="1" applyFont="1" applyNumberFormat="1">
      <alignment horizontal="center" shrinkToFit="0" vertical="center" wrapText="0"/>
    </xf>
    <xf borderId="21" fillId="13" fontId="15" numFmtId="49" xfId="0" applyAlignment="1" applyBorder="1" applyFont="1" applyNumberFormat="1">
      <alignment horizontal="center" shrinkToFit="0" vertical="center" wrapText="0"/>
    </xf>
    <xf borderId="1" fillId="15" fontId="16" numFmtId="0" xfId="0" applyAlignment="1" applyBorder="1" applyFill="1" applyFont="1">
      <alignment horizontal="center" shrinkToFit="0" vertical="center" wrapText="0"/>
    </xf>
    <xf borderId="1" fillId="2" fontId="17" numFmtId="0" xfId="0" applyAlignment="1" applyBorder="1" applyFont="1">
      <alignment horizontal="center" shrinkToFit="0" vertical="center" wrapText="0"/>
    </xf>
    <xf borderId="1" fillId="3" fontId="18" numFmtId="0" xfId="0" applyAlignment="1" applyBorder="1" applyFont="1">
      <alignment horizontal="center" shrinkToFit="0" vertical="center" wrapText="0"/>
    </xf>
    <xf borderId="22" fillId="3" fontId="19" numFmtId="0" xfId="0" applyAlignment="1" applyBorder="1" applyFont="1">
      <alignment horizontal="left" shrinkToFit="0" vertical="center" wrapText="0"/>
    </xf>
    <xf borderId="23" fillId="0" fontId="2" numFmtId="0" xfId="0" applyBorder="1" applyFont="1"/>
    <xf borderId="22" fillId="4" fontId="19" numFmtId="0" xfId="0" applyAlignment="1" applyBorder="1" applyFont="1">
      <alignment horizontal="left" shrinkToFit="0" vertical="center" wrapText="0"/>
    </xf>
    <xf borderId="24" fillId="15" fontId="20" numFmtId="0" xfId="0" applyAlignment="1" applyBorder="1" applyFont="1">
      <alignment horizontal="left" shrinkToFit="0" vertical="center" wrapText="0"/>
    </xf>
    <xf borderId="25" fillId="16" fontId="21" numFmtId="3" xfId="0" applyAlignment="1" applyBorder="1" applyFill="1" applyFont="1" applyNumberFormat="1">
      <alignment horizontal="right" shrinkToFit="0" vertical="center" wrapText="0"/>
    </xf>
    <xf borderId="24" fillId="3" fontId="22" numFmtId="0" xfId="0" applyAlignment="1" applyBorder="1" applyFont="1">
      <alignment horizontal="center" shrinkToFit="0" vertical="center" wrapText="0"/>
    </xf>
    <xf borderId="24" fillId="12" fontId="20" numFmtId="3" xfId="0" applyAlignment="1" applyBorder="1" applyFont="1" applyNumberFormat="1">
      <alignment horizontal="center" shrinkToFit="0" vertical="center" wrapText="0"/>
    </xf>
    <xf borderId="24" fillId="12" fontId="20" numFmtId="165" xfId="0" applyAlignment="1" applyBorder="1" applyFont="1" applyNumberFormat="1">
      <alignment horizontal="right" shrinkToFit="0" vertical="center" wrapText="0"/>
    </xf>
    <xf borderId="25" fillId="16" fontId="21" numFmtId="165" xfId="0" applyAlignment="1" applyBorder="1" applyFont="1" applyNumberFormat="1">
      <alignment horizontal="right" shrinkToFit="0" vertical="center" wrapText="0"/>
    </xf>
    <xf borderId="25" fillId="16" fontId="21" numFmtId="166" xfId="0" applyAlignment="1" applyBorder="1" applyFont="1" applyNumberFormat="1">
      <alignment horizontal="right" shrinkToFit="0" vertical="center" wrapText="0"/>
    </xf>
    <xf borderId="24" fillId="13" fontId="23" numFmtId="3" xfId="0" applyAlignment="1" applyBorder="1" applyFont="1" applyNumberFormat="1">
      <alignment horizontal="center" shrinkToFit="0" vertical="center" wrapText="0"/>
    </xf>
    <xf borderId="24" fillId="13" fontId="23" numFmtId="165" xfId="0" applyAlignment="1" applyBorder="1" applyFont="1" applyNumberFormat="1">
      <alignment horizontal="right" shrinkToFit="0" vertical="center" wrapText="0"/>
    </xf>
    <xf borderId="24" fillId="17" fontId="20" numFmtId="0" xfId="0" applyAlignment="1" applyBorder="1" applyFill="1" applyFont="1">
      <alignment horizontal="left" shrinkToFit="0" vertical="center" wrapText="0"/>
    </xf>
    <xf borderId="24" fillId="17" fontId="20" numFmtId="164" xfId="0" applyAlignment="1" applyBorder="1" applyFont="1" applyNumberFormat="1">
      <alignment horizontal="right" shrinkToFit="0" vertical="center" wrapText="0"/>
    </xf>
    <xf borderId="24" fillId="8" fontId="20" numFmtId="3" xfId="0" applyAlignment="1" applyBorder="1" applyFont="1" applyNumberFormat="1">
      <alignment horizontal="center" shrinkToFit="0" vertical="center" wrapText="0"/>
    </xf>
    <xf borderId="24" fillId="8" fontId="20" numFmtId="165" xfId="0" applyAlignment="1" applyBorder="1" applyFont="1" applyNumberFormat="1">
      <alignment horizontal="right" shrinkToFit="0" vertical="center" wrapText="0"/>
    </xf>
    <xf borderId="24" fillId="17" fontId="20" numFmtId="165" xfId="0" applyAlignment="1" applyBorder="1" applyFont="1" applyNumberFormat="1">
      <alignment horizontal="right" shrinkToFit="0" vertical="center" wrapText="0"/>
    </xf>
    <xf borderId="22" fillId="11" fontId="19" numFmtId="0" xfId="0" applyAlignment="1" applyBorder="1" applyFont="1">
      <alignment horizontal="left" shrinkToFit="0" vertical="center" wrapText="0"/>
    </xf>
    <xf borderId="26" fillId="13" fontId="24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1" fillId="13" fontId="23" numFmtId="165" xfId="0" applyAlignment="1" applyBorder="1" applyFont="1" applyNumberFormat="1">
      <alignment horizontal="right" shrinkToFit="0" vertical="center" wrapText="0"/>
    </xf>
    <xf borderId="24" fillId="17" fontId="20" numFmtId="167" xfId="0" applyAlignment="1" applyBorder="1" applyFont="1" applyNumberFormat="1">
      <alignment horizontal="right" shrinkToFit="0" vertical="center" wrapText="0"/>
    </xf>
    <xf borderId="14" fillId="12" fontId="23" numFmtId="0" xfId="0" applyAlignment="1" applyBorder="1" applyFont="1">
      <alignment horizontal="center" shrinkToFit="0" vertical="center" wrapText="0"/>
    </xf>
    <xf borderId="1" fillId="5" fontId="17" numFmtId="0" xfId="0" applyAlignment="1" applyBorder="1" applyFont="1">
      <alignment horizontal="center" shrinkToFit="0" vertical="center" wrapText="0"/>
    </xf>
    <xf borderId="22" fillId="5" fontId="19" numFmtId="0" xfId="0" applyAlignment="1" applyBorder="1" applyFont="1">
      <alignment horizontal="left" shrinkToFit="0" vertical="center" wrapText="0"/>
    </xf>
    <xf borderId="25" fillId="16" fontId="21" numFmtId="3" xfId="0" applyAlignment="1" applyBorder="1" applyFont="1" applyNumberFormat="1">
      <alignment horizontal="right" readingOrder="0" shrinkToFit="0" vertical="center" wrapText="0"/>
    </xf>
    <xf borderId="28" fillId="0" fontId="2" numFmtId="0" xfId="0" applyBorder="1" applyFont="1"/>
    <xf borderId="24" fillId="3" fontId="22" numFmtId="0" xfId="0" applyAlignment="1" applyBorder="1" applyFont="1">
      <alignment horizontal="center" shrinkToFit="0" vertical="center" wrapText="1"/>
    </xf>
    <xf borderId="24" fillId="12" fontId="23" numFmtId="3" xfId="0" applyAlignment="1" applyBorder="1" applyFont="1" applyNumberFormat="1">
      <alignment horizontal="center" shrinkToFit="0" vertical="center" wrapText="0"/>
    </xf>
    <xf borderId="24" fillId="12" fontId="23" numFmtId="164" xfId="0" applyAlignment="1" applyBorder="1" applyFont="1" applyNumberFormat="1">
      <alignment horizontal="right" shrinkToFit="0" vertical="center" wrapText="0"/>
    </xf>
    <xf borderId="24" fillId="12" fontId="23" numFmtId="165" xfId="0" applyAlignment="1" applyBorder="1" applyFont="1" applyNumberFormat="1">
      <alignment horizontal="right" shrinkToFit="0" vertical="center" wrapText="0"/>
    </xf>
    <xf borderId="24" fillId="12" fontId="25" numFmtId="0" xfId="0" applyAlignment="1" applyBorder="1" applyFont="1">
      <alignment horizontal="center" shrinkToFit="0" vertical="center" wrapText="0"/>
    </xf>
    <xf borderId="24" fillId="13" fontId="20" numFmtId="3" xfId="0" applyAlignment="1" applyBorder="1" applyFont="1" applyNumberFormat="1">
      <alignment horizontal="center" shrinkToFit="0" vertical="center" wrapText="0"/>
    </xf>
    <xf borderId="24" fillId="13" fontId="20" numFmtId="164" xfId="0" applyAlignment="1" applyBorder="1" applyFont="1" applyNumberFormat="1">
      <alignment horizontal="right" shrinkToFit="0" vertical="center" wrapText="0"/>
    </xf>
    <xf borderId="24" fillId="13" fontId="20" numFmtId="165" xfId="0" applyAlignment="1" applyBorder="1" applyFont="1" applyNumberFormat="1">
      <alignment horizontal="right" shrinkToFit="0" vertical="center" wrapText="0"/>
    </xf>
    <xf borderId="24" fillId="13" fontId="26" numFmtId="165" xfId="0" applyAlignment="1" applyBorder="1" applyFont="1" applyNumberFormat="1">
      <alignment horizontal="right" shrinkToFit="0" vertical="center" wrapText="0"/>
    </xf>
    <xf borderId="24" fillId="13" fontId="26" numFmtId="166" xfId="0" applyAlignment="1" applyBorder="1" applyFont="1" applyNumberFormat="1">
      <alignment horizontal="right" shrinkToFit="0" vertical="center" wrapText="0"/>
    </xf>
    <xf borderId="24" fillId="18" fontId="20" numFmtId="3" xfId="0" applyAlignment="1" applyBorder="1" applyFill="1" applyFont="1" applyNumberFormat="1">
      <alignment horizontal="center" shrinkToFit="0" vertical="center" wrapText="0"/>
    </xf>
    <xf borderId="24" fillId="18" fontId="20" numFmtId="164" xfId="0" applyAlignment="1" applyBorder="1" applyFont="1" applyNumberFormat="1">
      <alignment horizontal="right" shrinkToFit="0" vertical="center" wrapText="0"/>
    </xf>
    <xf borderId="24" fillId="18" fontId="20" numFmtId="165" xfId="0" applyAlignment="1" applyBorder="1" applyFont="1" applyNumberFormat="1">
      <alignment horizontal="right" shrinkToFit="0" vertical="center" wrapText="0"/>
    </xf>
    <xf borderId="24" fillId="18" fontId="26" numFmtId="165" xfId="0" applyAlignment="1" applyBorder="1" applyFont="1" applyNumberFormat="1">
      <alignment horizontal="right" shrinkToFit="0" vertical="center" wrapText="0"/>
    </xf>
    <xf borderId="24" fillId="18" fontId="26" numFmtId="166" xfId="0" applyAlignment="1" applyBorder="1" applyFont="1" applyNumberFormat="1">
      <alignment horizontal="right" shrinkToFit="0" vertical="center" wrapText="0"/>
    </xf>
    <xf borderId="24" fillId="8" fontId="20" numFmtId="164" xfId="0" applyAlignment="1" applyBorder="1" applyFont="1" applyNumberFormat="1">
      <alignment horizontal="right" shrinkToFit="0" vertical="center" wrapText="0"/>
    </xf>
    <xf borderId="24" fillId="8" fontId="26" numFmtId="165" xfId="0" applyAlignment="1" applyBorder="1" applyFont="1" applyNumberFormat="1">
      <alignment horizontal="right" shrinkToFit="0" vertical="center" wrapText="0"/>
    </xf>
    <xf borderId="24" fillId="8" fontId="26" numFmtId="166" xfId="0" applyAlignment="1" applyBorder="1" applyFont="1" applyNumberFormat="1">
      <alignment horizontal="right" shrinkToFit="0" vertical="center" wrapText="0"/>
    </xf>
    <xf borderId="10" fillId="8" fontId="27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22" fillId="6" fontId="19" numFmtId="0" xfId="0" applyAlignment="1" applyBorder="1" applyFont="1">
      <alignment horizontal="left" shrinkToFit="0" vertical="center" wrapText="0"/>
    </xf>
    <xf borderId="24" fillId="9" fontId="28" numFmtId="0" xfId="0" applyAlignment="1" applyBorder="1" applyFont="1">
      <alignment horizontal="center" shrinkToFit="0" vertical="center" wrapText="0"/>
    </xf>
    <xf borderId="24" fillId="9" fontId="29" numFmtId="0" xfId="0" applyAlignment="1" applyBorder="1" applyFont="1">
      <alignment horizontal="center" shrinkToFit="0" vertical="center" wrapText="0"/>
    </xf>
    <xf borderId="24" fillId="9" fontId="16" numFmtId="0" xfId="0" applyAlignment="1" applyBorder="1" applyFont="1">
      <alignment horizontal="center" shrinkToFit="0" vertical="center" wrapText="0"/>
    </xf>
    <xf borderId="26" fillId="12" fontId="11" numFmtId="0" xfId="0" applyAlignment="1" applyBorder="1" applyFont="1">
      <alignment horizontal="center" shrinkToFit="0" vertical="center" wrapText="0"/>
    </xf>
    <xf borderId="30" fillId="0" fontId="2" numFmtId="0" xfId="0" applyBorder="1" applyFont="1"/>
    <xf borderId="1" fillId="6" fontId="17" numFmtId="0" xfId="0" applyAlignment="1" applyBorder="1" applyFont="1">
      <alignment horizontal="center" shrinkToFit="0" vertical="center" wrapText="0"/>
    </xf>
    <xf borderId="21" fillId="9" fontId="23" numFmtId="165" xfId="0" applyAlignment="1" applyBorder="1" applyFont="1" applyNumberFormat="1">
      <alignment horizontal="right" shrinkToFit="0" vertical="center" wrapText="0"/>
    </xf>
    <xf borderId="21" fillId="13" fontId="23" numFmtId="168" xfId="0" applyAlignment="1" applyBorder="1" applyFont="1" applyNumberFormat="1">
      <alignment horizontal="right" shrinkToFit="0" vertical="center" wrapText="0"/>
    </xf>
    <xf borderId="22" fillId="2" fontId="19" numFmtId="0" xfId="0" applyAlignment="1" applyBorder="1" applyFont="1">
      <alignment horizontal="left" shrinkToFit="0" vertical="center" wrapText="0"/>
    </xf>
    <xf borderId="21" fillId="7" fontId="23" numFmtId="165" xfId="0" applyAlignment="1" applyBorder="1" applyFont="1" applyNumberFormat="1">
      <alignment horizontal="right" shrinkToFit="0" vertical="center" wrapText="0"/>
    </xf>
    <xf borderId="24" fillId="16" fontId="20" numFmtId="0" xfId="0" applyAlignment="1" applyBorder="1" applyFont="1">
      <alignment horizontal="left" shrinkToFit="0" vertical="center" wrapText="0"/>
    </xf>
    <xf borderId="31" fillId="13" fontId="30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3" fillId="0" fontId="2" numFmtId="0" xfId="0" applyBorder="1" applyFont="1"/>
    <xf borderId="1" fillId="10" fontId="17" numFmtId="0" xfId="0" applyAlignment="1" applyBorder="1" applyFont="1">
      <alignment horizontal="center" shrinkToFit="0" vertical="center" wrapText="0"/>
    </xf>
    <xf borderId="22" fillId="10" fontId="19" numFmtId="0" xfId="0" applyAlignment="1" applyBorder="1" applyFont="1">
      <alignment horizontal="left" shrinkToFit="0" vertical="center" wrapText="0"/>
    </xf>
    <xf borderId="24" fillId="7" fontId="21" numFmtId="165" xfId="0" applyAlignment="1" applyBorder="1" applyFont="1" applyNumberFormat="1">
      <alignment horizontal="right" shrinkToFit="0" vertical="center" wrapText="0"/>
    </xf>
    <xf borderId="25" fillId="16" fontId="21" numFmtId="1" xfId="0" applyAlignment="1" applyBorder="1" applyFont="1" applyNumberFormat="1">
      <alignment horizontal="right" readingOrder="0" shrinkToFit="0" vertical="center" wrapText="0"/>
    </xf>
    <xf borderId="24" fillId="7" fontId="21" numFmtId="166" xfId="0" applyAlignment="1" applyBorder="1" applyFont="1" applyNumberFormat="1">
      <alignment horizontal="right" shrinkToFit="0" vertical="center" wrapText="0"/>
    </xf>
    <xf borderId="24" fillId="7" fontId="21" numFmtId="167" xfId="0" applyAlignment="1" applyBorder="1" applyFont="1" applyNumberFormat="1">
      <alignment horizontal="right" shrinkToFit="0" vertical="center" wrapText="0"/>
    </xf>
    <xf borderId="24" fillId="7" fontId="25" numFmtId="49" xfId="0" applyAlignment="1" applyBorder="1" applyFont="1" applyNumberFormat="1">
      <alignment horizontal="center" shrinkToFit="0" vertical="center" wrapText="0"/>
    </xf>
    <xf borderId="21" fillId="12" fontId="23" numFmtId="165" xfId="0" applyAlignment="1" applyBorder="1" applyFont="1" applyNumberFormat="1">
      <alignment horizontal="right" shrinkToFit="0" vertical="center" wrapText="0"/>
    </xf>
    <xf borderId="21" fillId="13" fontId="23" numFmtId="167" xfId="0" applyAlignment="1" applyBorder="1" applyFont="1" applyNumberFormat="1">
      <alignment horizontal="right" shrinkToFit="0" vertical="center" wrapText="0"/>
    </xf>
    <xf borderId="21" fillId="13" fontId="23" numFmtId="1" xfId="0" applyAlignment="1" applyBorder="1" applyFont="1" applyNumberFormat="1">
      <alignment horizontal="right" shrinkToFit="0" vertical="center" wrapText="0"/>
    </xf>
    <xf borderId="21" fillId="13" fontId="23" numFmtId="169" xfId="0" applyAlignment="1" applyBorder="1" applyFont="1" applyNumberFormat="1">
      <alignment horizontal="right" shrinkToFit="0" vertical="center" wrapText="0"/>
    </xf>
    <xf borderId="34" fillId="19" fontId="31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26" fillId="3" fontId="22" numFmtId="0" xfId="0" applyAlignment="1" applyBorder="1" applyFont="1">
      <alignment horizontal="center" shrinkToFit="0" vertical="center" wrapText="0"/>
    </xf>
    <xf borderId="26" fillId="8" fontId="28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24" fillId="8" fontId="32" numFmtId="0" xfId="0" applyAlignment="1" applyBorder="1" applyFont="1">
      <alignment horizontal="center" shrinkToFit="0" vertical="center" wrapText="0"/>
    </xf>
    <xf borderId="26" fillId="8" fontId="24" numFmtId="0" xfId="0" applyAlignment="1" applyBorder="1" applyFont="1">
      <alignment horizontal="left" shrinkToFit="0" vertical="center" wrapText="0"/>
    </xf>
    <xf borderId="26" fillId="13" fontId="28" numFmtId="0" xfId="0" applyAlignment="1" applyBorder="1" applyFont="1">
      <alignment horizontal="center" shrinkToFit="0" vertical="center" wrapText="0"/>
    </xf>
    <xf borderId="24" fillId="13" fontId="32" numFmtId="0" xfId="0" applyAlignment="1" applyBorder="1" applyFont="1">
      <alignment horizontal="center" shrinkToFit="0" vertical="center" wrapText="0"/>
    </xf>
    <xf borderId="26" fillId="13" fontId="24" numFmtId="0" xfId="0" applyAlignment="1" applyBorder="1" applyFont="1">
      <alignment horizontal="left" shrinkToFit="0" vertical="center" wrapText="0"/>
    </xf>
    <xf borderId="26" fillId="14" fontId="28" numFmtId="0" xfId="0" applyAlignment="1" applyBorder="1" applyFont="1">
      <alignment horizontal="center" shrinkToFit="0" vertical="center" wrapText="0"/>
    </xf>
    <xf borderId="24" fillId="14" fontId="32" numFmtId="0" xfId="0" applyAlignment="1" applyBorder="1" applyFont="1">
      <alignment horizontal="center" shrinkToFit="0" vertical="center" wrapText="0"/>
    </xf>
    <xf borderId="26" fillId="14" fontId="24" numFmtId="0" xfId="0" applyAlignment="1" applyBorder="1" applyFont="1">
      <alignment horizontal="left" shrinkToFit="0" vertical="center" wrapText="0"/>
    </xf>
    <xf borderId="26" fillId="12" fontId="28" numFmtId="0" xfId="0" applyAlignment="1" applyBorder="1" applyFont="1">
      <alignment horizontal="center" shrinkToFit="0" vertical="center" wrapText="0"/>
    </xf>
    <xf borderId="24" fillId="12" fontId="32" numFmtId="0" xfId="0" applyAlignment="1" applyBorder="1" applyFont="1">
      <alignment horizontal="center" shrinkToFit="0" vertical="center" wrapText="0"/>
    </xf>
    <xf borderId="26" fillId="12" fontId="24" numFmtId="0" xfId="0" applyAlignment="1" applyBorder="1" applyFont="1">
      <alignment horizontal="left" shrinkToFit="0" vertical="center" wrapText="0"/>
    </xf>
    <xf borderId="26" fillId="9" fontId="28" numFmtId="0" xfId="0" applyAlignment="1" applyBorder="1" applyFont="1">
      <alignment horizontal="center" shrinkToFit="0" vertical="center" wrapText="0"/>
    </xf>
    <xf borderId="24" fillId="9" fontId="32" numFmtId="0" xfId="0" applyAlignment="1" applyBorder="1" applyFont="1">
      <alignment horizontal="center" shrinkToFit="0" vertical="center" wrapText="0"/>
    </xf>
    <xf borderId="26" fillId="9" fontId="24" numFmtId="0" xfId="0" applyAlignment="1" applyBorder="1" applyFont="1">
      <alignment horizontal="left" shrinkToFit="0" vertical="center" wrapText="0"/>
    </xf>
    <xf borderId="1" fillId="11" fontId="17" numFmtId="0" xfId="0" applyAlignment="1" applyBorder="1" applyFont="1">
      <alignment horizontal="center" shrinkToFit="0" vertical="center" wrapText="0"/>
    </xf>
    <xf borderId="24" fillId="7" fontId="23" numFmtId="0" xfId="0" applyAlignment="1" applyBorder="1" applyFont="1">
      <alignment horizontal="left" shrinkToFit="0" vertical="center" wrapText="0"/>
    </xf>
    <xf borderId="25" fillId="7" fontId="21" numFmtId="165" xfId="0" applyAlignment="1" applyBorder="1" applyFont="1" applyNumberFormat="1">
      <alignment horizontal="right" shrinkToFit="0" vertical="center" wrapText="0"/>
    </xf>
    <xf borderId="25" fillId="7" fontId="21" numFmtId="3" xfId="0" applyAlignment="1" applyBorder="1" applyFont="1" applyNumberFormat="1">
      <alignment horizontal="right" shrinkToFit="0" vertical="center" wrapText="0"/>
    </xf>
    <xf borderId="24" fillId="7" fontId="23" numFmtId="166" xfId="0" applyAlignment="1" applyBorder="1" applyFont="1" applyNumberFormat="1">
      <alignment horizontal="center" shrinkToFit="0" vertical="center" wrapText="0"/>
    </xf>
    <xf borderId="24" fillId="7" fontId="20" numFmtId="0" xfId="0" applyAlignment="1" applyBorder="1" applyFont="1">
      <alignment horizontal="center" shrinkToFit="0" vertical="center" wrapText="0"/>
    </xf>
    <xf borderId="24" fillId="14" fontId="23" numFmtId="0" xfId="0" applyAlignment="1" applyBorder="1" applyFont="1">
      <alignment horizontal="left" shrinkToFit="0" vertical="center" wrapText="0"/>
    </xf>
    <xf borderId="25" fillId="14" fontId="21" numFmtId="165" xfId="0" applyAlignment="1" applyBorder="1" applyFont="1" applyNumberFormat="1">
      <alignment horizontal="right" shrinkToFit="0" vertical="center" wrapText="0"/>
    </xf>
    <xf borderId="25" fillId="14" fontId="21" numFmtId="3" xfId="0" applyAlignment="1" applyBorder="1" applyFont="1" applyNumberFormat="1">
      <alignment horizontal="right" shrinkToFit="0" vertical="center" wrapText="0"/>
    </xf>
    <xf borderId="24" fillId="14" fontId="23" numFmtId="166" xfId="0" applyAlignment="1" applyBorder="1" applyFont="1" applyNumberFormat="1">
      <alignment horizontal="center" shrinkToFit="0" vertical="center" wrapText="0"/>
    </xf>
    <xf borderId="24" fillId="14" fontId="20" numFmtId="0" xfId="0" applyAlignment="1" applyBorder="1" applyFont="1">
      <alignment horizontal="center" shrinkToFit="0" vertical="center" wrapText="0"/>
    </xf>
    <xf borderId="24" fillId="9" fontId="23" numFmtId="0" xfId="0" applyAlignment="1" applyBorder="1" applyFont="1">
      <alignment horizontal="left" shrinkToFit="0" vertical="center" wrapText="0"/>
    </xf>
    <xf borderId="25" fillId="9" fontId="21" numFmtId="165" xfId="0" applyAlignment="1" applyBorder="1" applyFont="1" applyNumberFormat="1">
      <alignment horizontal="right" shrinkToFit="0" vertical="center" wrapText="0"/>
    </xf>
    <xf borderId="25" fillId="9" fontId="21" numFmtId="3" xfId="0" applyAlignment="1" applyBorder="1" applyFont="1" applyNumberFormat="1">
      <alignment horizontal="right" shrinkToFit="0" vertical="center" wrapText="0"/>
    </xf>
    <xf borderId="24" fillId="9" fontId="23" numFmtId="166" xfId="0" applyAlignment="1" applyBorder="1" applyFont="1" applyNumberFormat="1">
      <alignment horizontal="center" shrinkToFit="0" vertical="center" wrapText="0"/>
    </xf>
    <xf borderId="24" fillId="9" fontId="20" numFmtId="0" xfId="0" applyAlignment="1" applyBorder="1" applyFont="1">
      <alignment horizontal="center" shrinkToFit="0" vertical="center" wrapText="0"/>
    </xf>
    <xf borderId="24" fillId="13" fontId="23" numFmtId="0" xfId="0" applyAlignment="1" applyBorder="1" applyFont="1">
      <alignment horizontal="left" shrinkToFit="0" vertical="center" wrapText="0"/>
    </xf>
    <xf borderId="25" fillId="13" fontId="21" numFmtId="165" xfId="0" applyAlignment="1" applyBorder="1" applyFont="1" applyNumberFormat="1">
      <alignment horizontal="right" shrinkToFit="0" vertical="center" wrapText="0"/>
    </xf>
    <xf borderId="25" fillId="13" fontId="21" numFmtId="3" xfId="0" applyAlignment="1" applyBorder="1" applyFont="1" applyNumberFormat="1">
      <alignment horizontal="right" shrinkToFit="0" vertical="center" wrapText="0"/>
    </xf>
    <xf borderId="24" fillId="13" fontId="23" numFmtId="166" xfId="0" applyAlignment="1" applyBorder="1" applyFont="1" applyNumberFormat="1">
      <alignment horizontal="center" shrinkToFit="0" vertical="center" wrapText="0"/>
    </xf>
    <xf borderId="24" fillId="13" fontId="20" numFmtId="0" xfId="0" applyAlignment="1" applyBorder="1" applyFont="1">
      <alignment horizontal="center" shrinkToFit="0" vertical="center" wrapText="0"/>
    </xf>
    <xf borderId="24" fillId="12" fontId="23" numFmtId="0" xfId="0" applyAlignment="1" applyBorder="1" applyFont="1">
      <alignment horizontal="left" shrinkToFit="0" vertical="center" wrapText="0"/>
    </xf>
    <xf borderId="25" fillId="12" fontId="21" numFmtId="165" xfId="0" applyAlignment="1" applyBorder="1" applyFont="1" applyNumberFormat="1">
      <alignment horizontal="right" shrinkToFit="0" vertical="center" wrapText="0"/>
    </xf>
    <xf borderId="25" fillId="12" fontId="21" numFmtId="3" xfId="0" applyAlignment="1" applyBorder="1" applyFont="1" applyNumberFormat="1">
      <alignment horizontal="right" shrinkToFit="0" vertical="center" wrapText="0"/>
    </xf>
    <xf borderId="24" fillId="12" fontId="23" numFmtId="166" xfId="0" applyAlignment="1" applyBorder="1" applyFont="1" applyNumberFormat="1">
      <alignment horizontal="center" shrinkToFit="0" vertical="center" wrapText="0"/>
    </xf>
    <xf borderId="24" fillId="12" fontId="20" numFmtId="0" xfId="0" applyAlignment="1" applyBorder="1" applyFont="1">
      <alignment horizontal="center" shrinkToFit="0" vertical="center" wrapText="0"/>
    </xf>
    <xf borderId="24" fillId="8" fontId="23" numFmtId="0" xfId="0" applyAlignment="1" applyBorder="1" applyFont="1">
      <alignment horizontal="left" shrinkToFit="0" vertical="center" wrapText="0"/>
    </xf>
    <xf borderId="25" fillId="8" fontId="21" numFmtId="165" xfId="0" applyAlignment="1" applyBorder="1" applyFont="1" applyNumberFormat="1">
      <alignment horizontal="right" shrinkToFit="0" vertical="center" wrapText="0"/>
    </xf>
    <xf borderId="25" fillId="8" fontId="21" numFmtId="3" xfId="0" applyAlignment="1" applyBorder="1" applyFont="1" applyNumberFormat="1">
      <alignment horizontal="right" shrinkToFit="0" vertical="center" wrapText="0"/>
    </xf>
    <xf borderId="24" fillId="8" fontId="23" numFmtId="166" xfId="0" applyAlignment="1" applyBorder="1" applyFont="1" applyNumberFormat="1">
      <alignment horizontal="center" shrinkToFit="0" vertical="center" wrapText="0"/>
    </xf>
    <xf borderId="24" fillId="8" fontId="20" numFmtId="0" xfId="0" applyAlignment="1" applyBorder="1" applyFont="1">
      <alignment horizontal="center" shrinkToFit="0" vertical="center" wrapText="0"/>
    </xf>
    <xf borderId="24" fillId="2" fontId="4" numFmtId="0" xfId="0" applyAlignment="1" applyBorder="1" applyFont="1">
      <alignment horizontal="center" shrinkToFit="0" vertical="center" wrapText="0"/>
    </xf>
    <xf borderId="24" fillId="2" fontId="4" numFmtId="165" xfId="0" applyAlignment="1" applyBorder="1" applyFont="1" applyNumberFormat="1">
      <alignment horizontal="right" shrinkToFit="0" vertical="center" wrapText="0"/>
    </xf>
    <xf borderId="24" fillId="2" fontId="4" numFmtId="166" xfId="0" applyAlignment="1" applyBorder="1" applyFont="1" applyNumberFormat="1">
      <alignment horizontal="center" shrinkToFit="0" vertical="center" wrapText="0"/>
    </xf>
    <xf borderId="24" fillId="8" fontId="32" numFmtId="0" xfId="0" applyAlignment="1" applyBorder="1" applyFont="1">
      <alignment horizontal="left" shrinkToFit="0" vertical="center" wrapText="0"/>
    </xf>
    <xf borderId="24" fillId="13" fontId="32" numFmtId="0" xfId="0" applyAlignment="1" applyBorder="1" applyFont="1">
      <alignment horizontal="left" shrinkToFit="0" vertical="center" wrapText="0"/>
    </xf>
    <xf borderId="24" fillId="12" fontId="32" numFmtId="0" xfId="0" applyAlignment="1" applyBorder="1" applyFont="1">
      <alignment horizontal="left" shrinkToFit="0" vertical="center" wrapText="0"/>
    </xf>
    <xf borderId="1" fillId="3" fontId="22" numFmtId="0" xfId="0" applyAlignment="1" applyBorder="1" applyFont="1">
      <alignment horizontal="center" shrinkToFit="0" vertical="center" wrapText="0"/>
    </xf>
    <xf borderId="24" fillId="14" fontId="32" numFmtId="0" xfId="0" applyAlignment="1" applyBorder="1" applyFont="1">
      <alignment horizontal="left" shrinkToFit="0" vertical="center" wrapText="0"/>
    </xf>
    <xf borderId="24" fillId="7" fontId="32" numFmtId="0" xfId="0" applyAlignment="1" applyBorder="1" applyFont="1">
      <alignment horizontal="left" shrinkToFit="0" vertical="center" wrapText="0"/>
    </xf>
    <xf borderId="24" fillId="7" fontId="32" numFmtId="0" xfId="0" applyAlignment="1" applyBorder="1" applyFont="1">
      <alignment horizontal="center" shrinkToFit="0" vertical="center" wrapText="0"/>
    </xf>
    <xf borderId="24" fillId="9" fontId="32" numFmtId="0" xfId="0" applyAlignment="1" applyBorder="1" applyFont="1">
      <alignment horizontal="left" shrinkToFit="0" vertical="center" wrapText="0"/>
    </xf>
    <xf borderId="1" fillId="3" fontId="33" numFmtId="0" xfId="0" applyAlignment="1" applyBorder="1" applyFont="1">
      <alignment horizontal="center" shrinkToFit="0" vertical="center" wrapText="0"/>
    </xf>
    <xf borderId="25" fillId="16" fontId="34" numFmtId="0" xfId="0" applyAlignment="1" applyBorder="1" applyFont="1">
      <alignment horizontal="center" shrinkToFit="0" vertical="center" wrapText="0"/>
    </xf>
    <xf borderId="25" fillId="16" fontId="35" numFmtId="0" xfId="0" applyAlignment="1" applyBorder="1" applyFont="1">
      <alignment horizontal="center" shrinkToFit="0" vertical="center" wrapText="0"/>
    </xf>
    <xf borderId="25" fillId="16" fontId="34" numFmtId="165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31" fillId="2" fontId="36" numFmtId="165" xfId="0" applyAlignment="1" applyBorder="1" applyFont="1" applyNumberFormat="1">
      <alignment horizontal="center" shrinkToFit="0" vertical="center" wrapText="0"/>
    </xf>
    <xf borderId="38" fillId="0" fontId="2" numFmtId="0" xfId="0" applyBorder="1" applyFont="1"/>
    <xf borderId="31" fillId="10" fontId="37" numFmtId="165" xfId="0" applyAlignment="1" applyBorder="1" applyFont="1" applyNumberFormat="1">
      <alignment horizontal="center" shrinkToFit="0" vertical="center" wrapText="0"/>
    </xf>
    <xf borderId="26" fillId="3" fontId="22" numFmtId="0" xfId="0" applyAlignment="1" applyBorder="1" applyFont="1">
      <alignment horizontal="center" shrinkToFit="0" vertical="center" wrapText="1"/>
    </xf>
    <xf borderId="39" fillId="16" fontId="38" numFmtId="0" xfId="0" applyAlignment="1" applyBorder="1" applyFont="1">
      <alignment horizontal="center" shrinkToFit="0" vertical="center" wrapText="0"/>
    </xf>
    <xf borderId="40" fillId="0" fontId="2" numFmtId="0" xfId="0" applyBorder="1" applyFont="1"/>
    <xf borderId="39" fillId="16" fontId="34" numFmtId="0" xfId="0" applyAlignment="1" applyBorder="1" applyFont="1">
      <alignment horizontal="center" shrinkToFit="0" vertical="center" wrapText="0"/>
    </xf>
    <xf borderId="25" fillId="16" fontId="38" numFmtId="0" xfId="0" applyAlignment="1" applyBorder="1" applyFont="1">
      <alignment horizontal="center" shrinkToFit="0" vertical="center" wrapText="0"/>
    </xf>
    <xf borderId="1" fillId="5" fontId="19" numFmtId="0" xfId="0" applyAlignment="1" applyBorder="1" applyFont="1">
      <alignment horizontal="center" shrinkToFit="0" vertical="center" wrapText="1"/>
    </xf>
    <xf borderId="1" fillId="15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7" width="20.0"/>
    <col customWidth="1" min="8" max="8" width="22.0"/>
    <col customWidth="1" min="9" max="9" width="3.0"/>
    <col customWidth="1" min="10" max="26" width="8.71"/>
  </cols>
  <sheetData>
    <row r="1" ht="6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7.75" customHeight="1">
      <c r="A3" s="5" t="s">
        <v>2</v>
      </c>
      <c r="B3" s="2"/>
      <c r="C3" s="2"/>
      <c r="D3" s="2"/>
      <c r="E3" s="2"/>
      <c r="F3" s="2"/>
      <c r="G3" s="2"/>
      <c r="H3" s="2"/>
      <c r="I3" s="3"/>
    </row>
    <row r="4" ht="19.5" customHeight="1">
      <c r="A4" s="6"/>
      <c r="B4" s="7" t="s">
        <v>3</v>
      </c>
      <c r="C4" s="3"/>
      <c r="D4" s="8" t="s">
        <v>4</v>
      </c>
      <c r="E4" s="3"/>
      <c r="F4" s="9" t="s">
        <v>5</v>
      </c>
      <c r="G4" s="3"/>
      <c r="H4" s="6"/>
      <c r="I4" s="6"/>
    </row>
    <row r="5" ht="31.5" customHeight="1">
      <c r="A5" s="6"/>
      <c r="B5" s="10" t="s">
        <v>6</v>
      </c>
      <c r="C5" s="3"/>
      <c r="D5" s="11" t="s">
        <v>7</v>
      </c>
      <c r="E5" s="3"/>
      <c r="F5" s="12" t="s">
        <v>8</v>
      </c>
      <c r="G5" s="3"/>
      <c r="H5" s="6"/>
      <c r="I5" s="6"/>
    </row>
    <row r="6" ht="19.5" customHeight="1">
      <c r="A6" s="6"/>
      <c r="B6" s="13" t="s">
        <v>9</v>
      </c>
      <c r="C6" s="14"/>
      <c r="D6" s="15" t="s">
        <v>10</v>
      </c>
      <c r="E6" s="14"/>
      <c r="F6" s="16" t="s">
        <v>11</v>
      </c>
      <c r="G6" s="14"/>
      <c r="H6" s="6"/>
      <c r="I6" s="6"/>
    </row>
    <row r="7" ht="19.5" customHeight="1">
      <c r="A7" s="6"/>
      <c r="B7" s="17"/>
      <c r="C7" s="18"/>
      <c r="D7" s="17"/>
      <c r="E7" s="18"/>
      <c r="F7" s="17"/>
      <c r="G7" s="18"/>
      <c r="H7" s="6"/>
      <c r="I7" s="6"/>
    </row>
    <row r="8" ht="19.5" customHeight="1">
      <c r="A8" s="6"/>
      <c r="B8" s="19" t="s">
        <v>12</v>
      </c>
      <c r="C8" s="20"/>
      <c r="D8" s="21" t="s">
        <v>13</v>
      </c>
      <c r="E8" s="22"/>
      <c r="F8" s="23" t="s">
        <v>14</v>
      </c>
      <c r="G8" s="24"/>
      <c r="H8" s="6"/>
      <c r="I8" s="6"/>
    </row>
    <row r="9" ht="18.0" customHeight="1">
      <c r="A9" s="6"/>
      <c r="B9" s="6"/>
      <c r="D9" s="6"/>
      <c r="F9" s="6"/>
      <c r="H9" s="6"/>
      <c r="I9" s="6"/>
    </row>
    <row r="10" ht="7.5" customHeight="1">
      <c r="A10" s="6"/>
      <c r="B10" s="6"/>
      <c r="C10" s="6"/>
      <c r="D10" s="6"/>
      <c r="E10" s="6"/>
      <c r="F10" s="6"/>
      <c r="G10" s="6"/>
      <c r="H10" s="6"/>
      <c r="I10" s="6"/>
    </row>
    <row r="11" ht="19.5" customHeight="1">
      <c r="A11" s="6"/>
      <c r="B11" s="25" t="s">
        <v>15</v>
      </c>
      <c r="C11" s="3"/>
      <c r="D11" s="26" t="s">
        <v>16</v>
      </c>
      <c r="E11" s="3"/>
      <c r="F11" s="27" t="s">
        <v>17</v>
      </c>
      <c r="G11" s="3"/>
      <c r="H11" s="6"/>
      <c r="I11" s="6"/>
    </row>
    <row r="12" ht="31.5" customHeight="1">
      <c r="A12" s="6"/>
      <c r="B12" s="28" t="s">
        <v>18</v>
      </c>
      <c r="C12" s="3"/>
      <c r="D12" s="29" t="s">
        <v>19</v>
      </c>
      <c r="E12" s="3"/>
      <c r="F12" s="30" t="s">
        <v>20</v>
      </c>
      <c r="G12" s="3"/>
      <c r="H12" s="6"/>
      <c r="I12" s="6"/>
    </row>
    <row r="13" ht="19.5" customHeight="1">
      <c r="A13" s="6"/>
      <c r="B13" s="31" t="s">
        <v>21</v>
      </c>
      <c r="C13" s="14"/>
      <c r="D13" s="32" t="s">
        <v>22</v>
      </c>
      <c r="E13" s="14"/>
      <c r="F13" s="33" t="s">
        <v>23</v>
      </c>
      <c r="G13" s="14"/>
      <c r="H13" s="6"/>
      <c r="I13" s="6"/>
    </row>
    <row r="14" ht="19.5" customHeight="1">
      <c r="A14" s="6"/>
      <c r="B14" s="17"/>
      <c r="C14" s="18"/>
      <c r="D14" s="17"/>
      <c r="E14" s="18"/>
      <c r="F14" s="17"/>
      <c r="G14" s="18"/>
      <c r="H14" s="6"/>
      <c r="I14" s="6"/>
    </row>
    <row r="15" ht="19.5" customHeight="1">
      <c r="A15" s="6"/>
      <c r="B15" s="34" t="s">
        <v>24</v>
      </c>
      <c r="C15" s="35"/>
      <c r="D15" s="36" t="s">
        <v>25</v>
      </c>
      <c r="E15" s="37"/>
      <c r="F15" s="38" t="s">
        <v>26</v>
      </c>
      <c r="G15" s="39"/>
      <c r="H15" s="6"/>
      <c r="I15" s="6"/>
    </row>
    <row r="16" ht="18.0" customHeight="1">
      <c r="A16" s="6"/>
      <c r="B16" s="6"/>
      <c r="D16" s="6"/>
      <c r="F16" s="6"/>
      <c r="H16" s="6"/>
      <c r="I16" s="6"/>
    </row>
    <row r="17" ht="7.5" customHeight="1">
      <c r="A17" s="6"/>
      <c r="B17" s="6"/>
      <c r="C17" s="6"/>
      <c r="D17" s="6"/>
      <c r="E17" s="6"/>
      <c r="F17" s="6"/>
      <c r="G17" s="6"/>
      <c r="H17" s="6"/>
      <c r="I17" s="6"/>
    </row>
    <row r="18">
      <c r="A18" s="6"/>
      <c r="B18" s="6"/>
      <c r="C18" s="6"/>
      <c r="D18" s="6"/>
      <c r="E18" s="6"/>
      <c r="F18" s="6"/>
      <c r="G18" s="6"/>
      <c r="H18" s="6"/>
      <c r="I18" s="6"/>
    </row>
    <row r="19" ht="27.75" customHeight="1">
      <c r="A19" s="40" t="s">
        <v>27</v>
      </c>
      <c r="B19" s="2"/>
      <c r="C19" s="2"/>
      <c r="D19" s="2"/>
      <c r="E19" s="2"/>
      <c r="F19" s="2"/>
      <c r="G19" s="2"/>
      <c r="H19" s="2"/>
      <c r="I19" s="3"/>
    </row>
    <row r="20" ht="24.0" customHeight="1">
      <c r="A20" s="6"/>
      <c r="B20" s="41" t="s">
        <v>28</v>
      </c>
      <c r="C20" s="41" t="s">
        <v>29</v>
      </c>
      <c r="D20" s="41" t="s">
        <v>30</v>
      </c>
      <c r="E20" s="41" t="s">
        <v>31</v>
      </c>
      <c r="F20" s="41" t="s">
        <v>32</v>
      </c>
      <c r="G20" s="41" t="s">
        <v>33</v>
      </c>
      <c r="H20" s="6"/>
      <c r="I20" s="6"/>
    </row>
    <row r="21" ht="30.0" customHeight="1">
      <c r="A21" s="6"/>
      <c r="B21" s="42">
        <f>'📊 Retirement Age'!C5</f>
        <v>30</v>
      </c>
      <c r="C21" s="42" t="str">
        <f>'📊 Retirement Age'!C14</f>
        <v/>
      </c>
      <c r="D21" s="43">
        <f>'📊 Retirement Age'!C15</f>
        <v>28</v>
      </c>
      <c r="E21" s="44">
        <f>'🏠 SIP &amp; Home Loan'!C5</f>
        <v>15000</v>
      </c>
      <c r="F21" s="44">
        <f>'📊 Retirement Age'!C22</f>
        <v>312141943.1</v>
      </c>
      <c r="G21" s="45">
        <f>'🗓 Freedom Date'!C20</f>
        <v>2072.888249</v>
      </c>
      <c r="H21" s="6"/>
      <c r="I21" s="6"/>
    </row>
    <row r="22" ht="7.5" customHeight="1">
      <c r="A22" s="6"/>
      <c r="B22" s="6"/>
      <c r="C22" s="6"/>
      <c r="D22" s="6"/>
      <c r="E22" s="6"/>
      <c r="F22" s="6"/>
      <c r="G22" s="6"/>
      <c r="H22" s="6"/>
      <c r="I22" s="6"/>
    </row>
    <row r="23" ht="21.75" customHeight="1">
      <c r="A23" s="46" t="s">
        <v>34</v>
      </c>
      <c r="B23" s="2"/>
      <c r="C23" s="2"/>
      <c r="D23" s="2"/>
      <c r="E23" s="2"/>
      <c r="F23" s="2"/>
      <c r="G23" s="2"/>
      <c r="H23" s="2"/>
      <c r="I23" s="3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35">
    <mergeCell ref="A1:I1"/>
    <mergeCell ref="A2:I2"/>
    <mergeCell ref="A3:I3"/>
    <mergeCell ref="B4:C4"/>
    <mergeCell ref="D4:E4"/>
    <mergeCell ref="F4:G4"/>
    <mergeCell ref="B5:C5"/>
    <mergeCell ref="D5:E5"/>
    <mergeCell ref="F5:G5"/>
    <mergeCell ref="B6:C7"/>
    <mergeCell ref="D6:E7"/>
    <mergeCell ref="F6:G7"/>
    <mergeCell ref="D8:E8"/>
    <mergeCell ref="F8:G8"/>
    <mergeCell ref="B8:C8"/>
    <mergeCell ref="B9:C9"/>
    <mergeCell ref="D9:E9"/>
    <mergeCell ref="F9:G9"/>
    <mergeCell ref="B11:C11"/>
    <mergeCell ref="D11:E11"/>
    <mergeCell ref="F11:G11"/>
    <mergeCell ref="D15:E15"/>
    <mergeCell ref="F15:G15"/>
    <mergeCell ref="B16:C16"/>
    <mergeCell ref="D16:E16"/>
    <mergeCell ref="F16:G16"/>
    <mergeCell ref="A19:I19"/>
    <mergeCell ref="A23:I23"/>
    <mergeCell ref="B12:C12"/>
    <mergeCell ref="D12:E12"/>
    <mergeCell ref="F12:G12"/>
    <mergeCell ref="B13:C14"/>
    <mergeCell ref="D13:E14"/>
    <mergeCell ref="F13:G14"/>
    <mergeCell ref="B15:C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20.0"/>
    <col customWidth="1" min="4" max="4" width="3.0"/>
    <col customWidth="1" min="5" max="5" width="30.0"/>
    <col customWidth="1" min="6" max="6" width="20.0"/>
    <col customWidth="1" min="7" max="7" width="3.0"/>
    <col customWidth="1" min="8" max="26" width="8.71"/>
  </cols>
  <sheetData>
    <row r="1" ht="49.5" customHeight="1">
      <c r="A1" s="47" t="s">
        <v>35</v>
      </c>
      <c r="B1" s="2"/>
      <c r="C1" s="2"/>
      <c r="D1" s="2"/>
      <c r="E1" s="2"/>
      <c r="F1" s="2"/>
      <c r="G1" s="3"/>
    </row>
    <row r="2" ht="21.75" customHeight="1">
      <c r="A2" s="48" t="s">
        <v>36</v>
      </c>
      <c r="B2" s="2"/>
      <c r="C2" s="2"/>
      <c r="D2" s="2"/>
      <c r="E2" s="2"/>
      <c r="F2" s="2"/>
      <c r="G2" s="3"/>
    </row>
    <row r="3">
      <c r="A3" s="6"/>
      <c r="B3" s="6"/>
      <c r="C3" s="6"/>
      <c r="D3" s="6"/>
      <c r="E3" s="6"/>
      <c r="F3" s="6"/>
      <c r="G3" s="6"/>
    </row>
    <row r="4" ht="25.5" customHeight="1">
      <c r="A4" s="6"/>
      <c r="B4" s="49" t="s">
        <v>37</v>
      </c>
      <c r="C4" s="50"/>
      <c r="D4" s="6"/>
      <c r="E4" s="51" t="s">
        <v>38</v>
      </c>
      <c r="F4" s="50"/>
      <c r="G4" s="6"/>
    </row>
    <row r="5" ht="24.0" customHeight="1">
      <c r="A5" s="6"/>
      <c r="B5" s="52" t="s">
        <v>39</v>
      </c>
      <c r="C5" s="53">
        <v>30.0</v>
      </c>
      <c r="D5" s="6"/>
      <c r="E5" s="54" t="s">
        <v>40</v>
      </c>
      <c r="F5" s="54" t="s">
        <v>41</v>
      </c>
      <c r="G5" s="6"/>
    </row>
    <row r="6" ht="21.75" customHeight="1">
      <c r="A6" s="6"/>
      <c r="B6" s="52" t="s">
        <v>42</v>
      </c>
      <c r="C6" s="53">
        <v>58.0</v>
      </c>
      <c r="D6" s="6"/>
      <c r="E6" s="55">
        <v>45.0</v>
      </c>
      <c r="F6" s="56">
        <f t="shared" ref="F6:F17" si="1">IF(E6&lt;=$C$5,0,$C$8*((1+$C$9)^(E6-$C$5))*(12*(1-(1+$C$9)^(-($C$7-E6)))/($C$13-$C$9)*(1+$C$13)))</f>
        <v>166680628.7</v>
      </c>
      <c r="G6" s="6"/>
    </row>
    <row r="7" ht="21.75" customHeight="1">
      <c r="A7" s="6"/>
      <c r="B7" s="52" t="s">
        <v>43</v>
      </c>
      <c r="C7" s="53">
        <v>85.0</v>
      </c>
      <c r="D7" s="6"/>
      <c r="E7" s="55">
        <v>48.0</v>
      </c>
      <c r="F7" s="56">
        <f t="shared" si="1"/>
        <v>194435566</v>
      </c>
      <c r="G7" s="6"/>
    </row>
    <row r="8" ht="21.75" customHeight="1">
      <c r="A8" s="6"/>
      <c r="B8" s="52" t="s">
        <v>44</v>
      </c>
      <c r="C8" s="57">
        <v>60000.0</v>
      </c>
      <c r="D8" s="6"/>
      <c r="E8" s="55">
        <v>50.0</v>
      </c>
      <c r="F8" s="56">
        <f t="shared" si="1"/>
        <v>214931616.5</v>
      </c>
      <c r="G8" s="6"/>
    </row>
    <row r="9" ht="21.75" customHeight="1">
      <c r="A9" s="6"/>
      <c r="B9" s="52" t="s">
        <v>45</v>
      </c>
      <c r="C9" s="58">
        <v>0.06</v>
      </c>
      <c r="D9" s="6"/>
      <c r="E9" s="55">
        <v>52.0</v>
      </c>
      <c r="F9" s="56">
        <f t="shared" si="1"/>
        <v>237032811.6</v>
      </c>
      <c r="G9" s="6"/>
    </row>
    <row r="10" ht="21.75" customHeight="1">
      <c r="A10" s="6"/>
      <c r="B10" s="52" t="s">
        <v>46</v>
      </c>
      <c r="C10" s="57">
        <v>150000.0</v>
      </c>
      <c r="D10" s="6"/>
      <c r="E10" s="55">
        <v>54.0</v>
      </c>
      <c r="F10" s="56">
        <f t="shared" si="1"/>
        <v>260693924.7</v>
      </c>
      <c r="G10" s="6"/>
    </row>
    <row r="11" ht="21.75" customHeight="1">
      <c r="A11" s="6"/>
      <c r="B11" s="52" t="s">
        <v>47</v>
      </c>
      <c r="C11" s="58">
        <v>0.3</v>
      </c>
      <c r="D11" s="6"/>
      <c r="E11" s="55">
        <v>55.0</v>
      </c>
      <c r="F11" s="56">
        <f t="shared" si="1"/>
        <v>273076950.6</v>
      </c>
      <c r="G11" s="6"/>
    </row>
    <row r="12" ht="21.75" customHeight="1">
      <c r="A12" s="6"/>
      <c r="B12" s="52" t="s">
        <v>48</v>
      </c>
      <c r="C12" s="58">
        <v>0.12</v>
      </c>
      <c r="D12" s="6"/>
      <c r="E12" s="55">
        <v>56.0</v>
      </c>
      <c r="F12" s="56">
        <f t="shared" si="1"/>
        <v>285800193.9</v>
      </c>
      <c r="G12" s="6"/>
    </row>
    <row r="13" ht="21.75" customHeight="1">
      <c r="A13" s="6"/>
      <c r="B13" s="52" t="s">
        <v>49</v>
      </c>
      <c r="C13" s="58">
        <v>0.07</v>
      </c>
      <c r="D13" s="6"/>
      <c r="E13" s="55">
        <v>57.0</v>
      </c>
      <c r="F13" s="56">
        <f t="shared" si="1"/>
        <v>298834286</v>
      </c>
      <c r="G13" s="6"/>
    </row>
    <row r="14" ht="21.75" customHeight="1">
      <c r="A14" s="6"/>
      <c r="B14" s="51" t="s">
        <v>50</v>
      </c>
      <c r="C14" s="50"/>
      <c r="D14" s="6"/>
      <c r="E14" s="59">
        <v>58.0</v>
      </c>
      <c r="F14" s="60">
        <f t="shared" si="1"/>
        <v>312141943.1</v>
      </c>
      <c r="G14" s="6"/>
    </row>
    <row r="15" ht="21.75" customHeight="1">
      <c r="A15" s="6"/>
      <c r="B15" s="61" t="s">
        <v>51</v>
      </c>
      <c r="C15" s="62">
        <f t="shared" ref="C15:C16" si="2">C6-C5</f>
        <v>28</v>
      </c>
      <c r="D15" s="6"/>
      <c r="E15" s="63">
        <v>60.0</v>
      </c>
      <c r="F15" s="64">
        <f t="shared" si="1"/>
        <v>339381661.5</v>
      </c>
      <c r="G15" s="6"/>
    </row>
    <row r="16" ht="21.75" customHeight="1">
      <c r="A16" s="6"/>
      <c r="B16" s="61" t="s">
        <v>52</v>
      </c>
      <c r="C16" s="62">
        <f t="shared" si="2"/>
        <v>27</v>
      </c>
      <c r="D16" s="6"/>
      <c r="E16" s="63">
        <v>62.0</v>
      </c>
      <c r="F16" s="64">
        <f t="shared" si="1"/>
        <v>367011451</v>
      </c>
      <c r="G16" s="6"/>
    </row>
    <row r="17" ht="21.75" customHeight="1">
      <c r="A17" s="6"/>
      <c r="B17" s="61" t="s">
        <v>53</v>
      </c>
      <c r="C17" s="65">
        <f>C10*C11</f>
        <v>45000</v>
      </c>
      <c r="D17" s="6"/>
      <c r="E17" s="63">
        <v>65.0</v>
      </c>
      <c r="F17" s="64">
        <f t="shared" si="1"/>
        <v>407505283.3</v>
      </c>
      <c r="G17" s="6"/>
    </row>
    <row r="18" ht="24.0" customHeight="1">
      <c r="A18" s="6"/>
      <c r="B18" s="61" t="s">
        <v>54</v>
      </c>
      <c r="C18" s="65">
        <f>C8*((1+C9)^C15)</f>
        <v>306701.2018</v>
      </c>
      <c r="D18" s="6"/>
      <c r="E18" s="6"/>
      <c r="F18" s="6"/>
      <c r="G18" s="6"/>
    </row>
    <row r="19" ht="24.0" customHeight="1">
      <c r="A19" s="6"/>
      <c r="B19" s="61" t="s">
        <v>55</v>
      </c>
      <c r="C19" s="65">
        <f>C18*12</f>
        <v>3680414.422</v>
      </c>
      <c r="D19" s="6"/>
      <c r="E19" s="66" t="s">
        <v>56</v>
      </c>
      <c r="F19" s="50"/>
      <c r="G19" s="6"/>
    </row>
    <row r="20" ht="21.75" customHeight="1">
      <c r="A20" s="6"/>
      <c r="B20" s="61" t="s">
        <v>57</v>
      </c>
      <c r="C20" s="65">
        <f>C19*(1-(1+C9)^(-C16))/(C13-C9)*((1+C13))</f>
        <v>312141943.1</v>
      </c>
      <c r="D20" s="6"/>
      <c r="E20" s="67" t="s">
        <v>58</v>
      </c>
      <c r="F20" s="68"/>
      <c r="G20" s="6"/>
    </row>
    <row r="21" ht="21.75" customHeight="1">
      <c r="A21" s="6"/>
      <c r="B21" s="61" t="s">
        <v>59</v>
      </c>
      <c r="C21" s="65">
        <f>C10*C11*12*((1+C12)^C15-1)/C12*(1+C12)</f>
        <v>115334687.1</v>
      </c>
      <c r="D21" s="6"/>
      <c r="E21" s="67" t="s">
        <v>60</v>
      </c>
      <c r="F21" s="68"/>
      <c r="G21" s="6"/>
    </row>
    <row r="22" ht="21.75" customHeight="1">
      <c r="A22" s="6"/>
      <c r="B22" s="61" t="s">
        <v>61</v>
      </c>
      <c r="C22" s="69">
        <f>C20</f>
        <v>312141943.1</v>
      </c>
      <c r="D22" s="6"/>
      <c r="E22" s="67" t="s">
        <v>62</v>
      </c>
      <c r="F22" s="68"/>
      <c r="G22" s="6"/>
    </row>
    <row r="23" ht="21.75" customHeight="1">
      <c r="A23" s="6"/>
      <c r="B23" s="61" t="s">
        <v>63</v>
      </c>
      <c r="C23" s="69">
        <f>C21-C22</f>
        <v>-196807256.1</v>
      </c>
      <c r="D23" s="6"/>
      <c r="E23" s="67" t="s">
        <v>64</v>
      </c>
      <c r="F23" s="68"/>
      <c r="G23" s="6"/>
    </row>
    <row r="24" ht="21.75" customHeight="1">
      <c r="A24" s="6"/>
      <c r="B24" s="61" t="s">
        <v>65</v>
      </c>
      <c r="C24" s="65">
        <f>C21</f>
        <v>115334687.1</v>
      </c>
      <c r="D24" s="6"/>
      <c r="E24" s="67" t="s">
        <v>66</v>
      </c>
      <c r="F24" s="68"/>
      <c r="G24" s="6"/>
    </row>
    <row r="25" ht="21.75" customHeight="1">
      <c r="A25" s="6"/>
      <c r="B25" s="61" t="s">
        <v>67</v>
      </c>
      <c r="C25" s="70">
        <f>C21/(C18*12)</f>
        <v>31.33741853</v>
      </c>
      <c r="D25" s="6"/>
      <c r="E25" s="67" t="s">
        <v>68</v>
      </c>
      <c r="F25" s="68"/>
      <c r="G25" s="6"/>
    </row>
    <row r="26" ht="21.75" customHeight="1">
      <c r="A26" s="6"/>
      <c r="B26" s="71" t="str">
        <f>IF(C23&gt;=0,"✅ On Track! Your savings plan is sufficient","⚠️ Gap detected! Increase savings rate or delay retirement")</f>
        <v>⚠️ Gap detected! Increase savings rate or delay retirement</v>
      </c>
      <c r="C26" s="35"/>
      <c r="D26" s="6"/>
      <c r="E26" s="67" t="s">
        <v>69</v>
      </c>
      <c r="F26" s="68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mergeCells count="14">
    <mergeCell ref="E21:F21"/>
    <mergeCell ref="E22:F22"/>
    <mergeCell ref="E23:F23"/>
    <mergeCell ref="E24:F24"/>
    <mergeCell ref="E25:F25"/>
    <mergeCell ref="B26:C26"/>
    <mergeCell ref="E26:F26"/>
    <mergeCell ref="A1:G1"/>
    <mergeCell ref="A2:G2"/>
    <mergeCell ref="B4:C4"/>
    <mergeCell ref="E4:F4"/>
    <mergeCell ref="B14:C14"/>
    <mergeCell ref="E19:F19"/>
    <mergeCell ref="E20:F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7" width="18.0"/>
    <col customWidth="1" min="8" max="8" width="3.0"/>
    <col customWidth="1" min="9" max="26" width="8.71"/>
  </cols>
  <sheetData>
    <row r="1" ht="49.5" customHeight="1">
      <c r="A1" s="72" t="s">
        <v>70</v>
      </c>
      <c r="B1" s="2"/>
      <c r="C1" s="2"/>
      <c r="D1" s="2"/>
      <c r="E1" s="2"/>
      <c r="F1" s="2"/>
      <c r="G1" s="2"/>
      <c r="H1" s="3"/>
    </row>
    <row r="2" ht="21.75" customHeight="1">
      <c r="A2" s="48" t="s">
        <v>71</v>
      </c>
      <c r="B2" s="2"/>
      <c r="C2" s="2"/>
      <c r="D2" s="2"/>
      <c r="E2" s="2"/>
      <c r="F2" s="2"/>
      <c r="G2" s="2"/>
      <c r="H2" s="3"/>
    </row>
    <row r="3">
      <c r="A3" s="6"/>
      <c r="B3" s="6"/>
      <c r="C3" s="6"/>
      <c r="D3" s="6"/>
      <c r="E3" s="6"/>
      <c r="F3" s="6"/>
      <c r="G3" s="6"/>
      <c r="H3" s="6"/>
    </row>
    <row r="4" ht="25.5" customHeight="1">
      <c r="A4" s="6"/>
      <c r="B4" s="73" t="s">
        <v>72</v>
      </c>
      <c r="C4" s="50"/>
      <c r="D4" s="6"/>
      <c r="E4" s="6"/>
      <c r="F4" s="6"/>
      <c r="G4" s="6"/>
      <c r="H4" s="6"/>
    </row>
    <row r="5" ht="24.0" customHeight="1">
      <c r="A5" s="6"/>
      <c r="B5" s="52" t="s">
        <v>73</v>
      </c>
      <c r="C5" s="57">
        <v>10000.0</v>
      </c>
      <c r="D5" s="6"/>
      <c r="H5" s="6"/>
    </row>
    <row r="6" ht="24.0" customHeight="1">
      <c r="A6" s="6"/>
      <c r="B6" s="52" t="s">
        <v>74</v>
      </c>
      <c r="C6" s="58">
        <v>0.12</v>
      </c>
      <c r="D6" s="6"/>
      <c r="H6" s="6"/>
    </row>
    <row r="7" ht="24.0" customHeight="1">
      <c r="A7" s="6"/>
      <c r="B7" s="52" t="s">
        <v>75</v>
      </c>
      <c r="C7" s="53">
        <v>60.0</v>
      </c>
      <c r="D7" s="6"/>
      <c r="H7" s="6"/>
    </row>
    <row r="8" ht="24.0" customHeight="1">
      <c r="A8" s="6"/>
      <c r="B8" s="52" t="s">
        <v>76</v>
      </c>
      <c r="C8" s="74">
        <v>40.0</v>
      </c>
      <c r="D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 ht="15.0" customHeight="1">
      <c r="A10" s="6"/>
      <c r="B10" s="73" t="s">
        <v>77</v>
      </c>
      <c r="C10" s="75"/>
      <c r="D10" s="75"/>
      <c r="E10" s="75"/>
      <c r="F10" s="75"/>
      <c r="G10" s="50"/>
      <c r="H10" s="6"/>
    </row>
    <row r="11" ht="30.0" customHeight="1">
      <c r="A11" s="6"/>
      <c r="B11" s="76" t="s">
        <v>78</v>
      </c>
      <c r="C11" s="76" t="s">
        <v>79</v>
      </c>
      <c r="D11" s="76" t="s">
        <v>80</v>
      </c>
      <c r="E11" s="76" t="s">
        <v>81</v>
      </c>
      <c r="F11" s="76" t="s">
        <v>82</v>
      </c>
      <c r="G11" s="76" t="s">
        <v>83</v>
      </c>
      <c r="H11" s="6"/>
    </row>
    <row r="12" ht="24.0" customHeight="1">
      <c r="A12" s="6"/>
      <c r="B12" s="77">
        <f>$C$8</f>
        <v>40</v>
      </c>
      <c r="C12" s="78">
        <f t="shared" ref="C12:C22" si="1">MAX(0,$C$7-B12)</f>
        <v>20</v>
      </c>
      <c r="D12" s="79">
        <f t="shared" ref="D12:D22" si="2">IF(B12&lt;=$C$7,$C$5*12*($C$7-B12),0)</f>
        <v>2400000</v>
      </c>
      <c r="E12" s="79">
        <f t="shared" ref="E12:E22" si="3">IF(B12&gt;=$C$7,0,$C$5*(((1+$C$6/12)^(($C$7-B12)*12)-1)/($C$6/12))*(1+$C$6/12))</f>
        <v>9991479.19</v>
      </c>
      <c r="F12" s="80" t="s">
        <v>84</v>
      </c>
      <c r="G12" s="80" t="s">
        <v>85</v>
      </c>
      <c r="H12" s="6"/>
    </row>
    <row r="13" ht="24.0" customHeight="1">
      <c r="A13" s="6"/>
      <c r="B13" s="81">
        <f>$C$8+2</f>
        <v>42</v>
      </c>
      <c r="C13" s="82">
        <f t="shared" si="1"/>
        <v>18</v>
      </c>
      <c r="D13" s="83">
        <f t="shared" si="2"/>
        <v>2160000</v>
      </c>
      <c r="E13" s="83">
        <f t="shared" si="3"/>
        <v>7654392.362</v>
      </c>
      <c r="F13" s="84">
        <f>E13-E12</f>
        <v>-2337086.828</v>
      </c>
      <c r="G13" s="85">
        <f>IF(E12=0,0,(E13-E12)/E12)</f>
        <v>-0.2339079914</v>
      </c>
      <c r="H13" s="6"/>
    </row>
    <row r="14" ht="24.0" customHeight="1">
      <c r="A14" s="6"/>
      <c r="B14" s="81">
        <f>$C$8+5</f>
        <v>45</v>
      </c>
      <c r="C14" s="82">
        <f t="shared" si="1"/>
        <v>15</v>
      </c>
      <c r="D14" s="83">
        <f t="shared" si="2"/>
        <v>1800000</v>
      </c>
      <c r="E14" s="83">
        <f t="shared" si="3"/>
        <v>5045759.995</v>
      </c>
      <c r="F14" s="84">
        <f>E14-E12</f>
        <v>-4945719.195</v>
      </c>
      <c r="G14" s="85">
        <f>IF(E12=0,0,(E14-E12)/E12)</f>
        <v>-0.4949936942</v>
      </c>
      <c r="H14" s="6"/>
    </row>
    <row r="15" ht="24.0" customHeight="1">
      <c r="A15" s="6"/>
      <c r="B15" s="86">
        <f>$C$8+7</f>
        <v>47</v>
      </c>
      <c r="C15" s="87">
        <f t="shared" si="1"/>
        <v>13</v>
      </c>
      <c r="D15" s="88">
        <f t="shared" si="2"/>
        <v>1560000</v>
      </c>
      <c r="E15" s="88">
        <f t="shared" si="3"/>
        <v>3759311.448</v>
      </c>
      <c r="F15" s="89">
        <f>E15-E12</f>
        <v>-6232167.742</v>
      </c>
      <c r="G15" s="90">
        <f>IF(E12=0,0,(E15-E12)/E12)</f>
        <v>-0.6237482583</v>
      </c>
      <c r="H15" s="6"/>
    </row>
    <row r="16" ht="24.0" customHeight="1">
      <c r="A16" s="6"/>
      <c r="B16" s="86">
        <f>$C$8+10</f>
        <v>50</v>
      </c>
      <c r="C16" s="87">
        <f t="shared" si="1"/>
        <v>10</v>
      </c>
      <c r="D16" s="88">
        <f t="shared" si="2"/>
        <v>1200000</v>
      </c>
      <c r="E16" s="88">
        <f t="shared" si="3"/>
        <v>2323390.764</v>
      </c>
      <c r="F16" s="89">
        <f>E16-E12</f>
        <v>-7668088.427</v>
      </c>
      <c r="G16" s="90">
        <f>IF(E12=0,0,(E16-E12)/E12)</f>
        <v>-0.7674627831</v>
      </c>
      <c r="H16" s="6"/>
    </row>
    <row r="17" ht="24.0" customHeight="1">
      <c r="A17" s="6"/>
      <c r="B17" s="86">
        <f>$C$8+13</f>
        <v>53</v>
      </c>
      <c r="C17" s="87">
        <f t="shared" si="1"/>
        <v>7</v>
      </c>
      <c r="D17" s="88">
        <f t="shared" si="2"/>
        <v>840000</v>
      </c>
      <c r="E17" s="88">
        <f t="shared" si="3"/>
        <v>1319789.971</v>
      </c>
      <c r="F17" s="89">
        <f>E17-E12</f>
        <v>-8671689.219</v>
      </c>
      <c r="G17" s="90">
        <f>IF(E12=0,0,(E17-E12)/E12)</f>
        <v>-0.8679084502</v>
      </c>
      <c r="H17" s="6"/>
    </row>
    <row r="18" ht="24.0" customHeight="1">
      <c r="A18" s="6"/>
      <c r="B18" s="63">
        <f>$C$8+15</f>
        <v>55</v>
      </c>
      <c r="C18" s="91">
        <f t="shared" si="1"/>
        <v>5</v>
      </c>
      <c r="D18" s="64">
        <f t="shared" si="2"/>
        <v>600000</v>
      </c>
      <c r="E18" s="64">
        <f t="shared" si="3"/>
        <v>824863.6655</v>
      </c>
      <c r="F18" s="92">
        <f>E18-E12</f>
        <v>-9166615.525</v>
      </c>
      <c r="G18" s="93">
        <f>IF(E12=0,0,(E18-E12)/E12)</f>
        <v>-0.9174432884</v>
      </c>
      <c r="H18" s="6"/>
    </row>
    <row r="19" ht="24.0" customHeight="1">
      <c r="A19" s="6"/>
      <c r="B19" s="63">
        <f>$C$8+17</f>
        <v>57</v>
      </c>
      <c r="C19" s="91">
        <f t="shared" si="1"/>
        <v>3</v>
      </c>
      <c r="D19" s="64">
        <f t="shared" si="2"/>
        <v>360000</v>
      </c>
      <c r="E19" s="64">
        <f t="shared" si="3"/>
        <v>435076.4714</v>
      </c>
      <c r="F19" s="92">
        <f>E19-E12</f>
        <v>-9556402.719</v>
      </c>
      <c r="G19" s="93">
        <f>IF(E12=0,0,(E19-E12)/E12)</f>
        <v>-0.9564552492</v>
      </c>
      <c r="H19" s="6"/>
    </row>
    <row r="20" ht="24.0" customHeight="1">
      <c r="A20" s="6"/>
      <c r="B20" s="63">
        <f>$C$8+20</f>
        <v>60</v>
      </c>
      <c r="C20" s="91">
        <f t="shared" si="1"/>
        <v>0</v>
      </c>
      <c r="D20" s="64">
        <f t="shared" si="2"/>
        <v>0</v>
      </c>
      <c r="E20" s="64">
        <f t="shared" si="3"/>
        <v>0</v>
      </c>
      <c r="F20" s="92">
        <f>E20-E12</f>
        <v>-9991479.19</v>
      </c>
      <c r="G20" s="93">
        <f>IF(E12=0,0,(E20-E12)/E12)</f>
        <v>-1</v>
      </c>
      <c r="H20" s="6"/>
    </row>
    <row r="21" ht="24.0" customHeight="1">
      <c r="A21" s="6"/>
      <c r="B21" s="63">
        <f>$C$8+23</f>
        <v>63</v>
      </c>
      <c r="C21" s="91">
        <f t="shared" si="1"/>
        <v>0</v>
      </c>
      <c r="D21" s="64">
        <f t="shared" si="2"/>
        <v>0</v>
      </c>
      <c r="E21" s="64">
        <f t="shared" si="3"/>
        <v>0</v>
      </c>
      <c r="F21" s="92">
        <f>E21-E12</f>
        <v>-9991479.19</v>
      </c>
      <c r="G21" s="93">
        <f>IF(E12=0,0,(E21-E12)/E12)</f>
        <v>-1</v>
      </c>
      <c r="H21" s="6"/>
    </row>
    <row r="22" ht="24.0" customHeight="1">
      <c r="A22" s="6"/>
      <c r="B22" s="63">
        <f>$C$8+25</f>
        <v>65</v>
      </c>
      <c r="C22" s="91">
        <f t="shared" si="1"/>
        <v>0</v>
      </c>
      <c r="D22" s="64">
        <f t="shared" si="2"/>
        <v>0</v>
      </c>
      <c r="E22" s="64">
        <f t="shared" si="3"/>
        <v>0</v>
      </c>
      <c r="F22" s="92">
        <f>E22-E12</f>
        <v>-9991479.19</v>
      </c>
      <c r="G22" s="93">
        <f>IF(E12=0,0,(E22-E12)/E12)</f>
        <v>-1</v>
      </c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30.0" customHeight="1">
      <c r="A24" s="6"/>
      <c r="B24" s="94" t="str">
        <f>CONCATENATE("💥 Starting at ",TEXT(B17,"0")," instead of ",TEXT(B12,"0"),": You lose ₹",TEXT(E17-E12,"#,##0")," in corpus — ",TEXT((E17-E12)/E12*-1,"0.0%")," penalty!")</f>
        <v>💥 Starting at 53 instead of 40: You lose ₹-8,671,689 in corpus — 86.8% penalty!</v>
      </c>
      <c r="C24" s="95"/>
      <c r="D24" s="95"/>
      <c r="E24" s="95"/>
      <c r="F24" s="95"/>
      <c r="G24" s="22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0" customHeight="1">
      <c r="A26" s="6"/>
      <c r="B26" s="96" t="str">
        <f>CONCATENATE("🔢  COMPOUNDING POWER: ₹",TEXT(C5,"#,##0"),"/month at ",TEXT(C6*100,"0"),"% p.a.")</f>
        <v>🔢  COMPOUNDING POWER: ₹10,000/month at 12% p.a.</v>
      </c>
      <c r="C26" s="75"/>
      <c r="D26" s="75"/>
      <c r="E26" s="75"/>
      <c r="F26" s="75"/>
      <c r="G26" s="50"/>
      <c r="H26" s="6"/>
    </row>
    <row r="27" ht="21.75" customHeight="1">
      <c r="A27" s="6"/>
      <c r="B27" s="97" t="s">
        <v>86</v>
      </c>
      <c r="C27" s="98" t="str">
        <f>"₹"&amp;TEXT($C$5*(((1+$C$6/12)^(5*12)-1)/($C$6/12))*(1+$C$6/12)/100000,"0.0")&amp;"L corpus"</f>
        <v>₹8.2L corpus</v>
      </c>
      <c r="D27" s="99" t="str">
        <f>"₹"&amp;TEXT($C$5*12*5/100000,"0.0")&amp;"L invested"</f>
        <v>₹6.0L invested</v>
      </c>
      <c r="E27" s="100" t="str">
        <f>"Money grew "&amp;TEXT($C$5*(((1+$C$6/12)^(5*12)-1)/($C$6/12))*(1+$C$6/12)/($C$5*12*5),"0.0")&amp;"x!"</f>
        <v>Money grew 1.4x!</v>
      </c>
      <c r="F27" s="101"/>
      <c r="G27" s="68"/>
      <c r="H27" s="6"/>
    </row>
    <row r="28" ht="21.75" customHeight="1">
      <c r="A28" s="6"/>
      <c r="B28" s="97" t="s">
        <v>87</v>
      </c>
      <c r="C28" s="98" t="str">
        <f>"₹"&amp;TEXT($C$5*(((1+$C$6/12)^(10*12)-1)/($C$6/12))*(1+$C$6/12)/100000,"0.0")&amp;"L corpus"</f>
        <v>₹23.2L corpus</v>
      </c>
      <c r="D28" s="99" t="str">
        <f>"₹"&amp;TEXT($C$5*12*10/100000,"0.0")&amp;"L invested"</f>
        <v>₹12.0L invested</v>
      </c>
      <c r="E28" s="100" t="str">
        <f>"Money grew "&amp;TEXT($C$5*(((1+$C$6/12)^(10*12)-1)/($C$6/12))*(1+$C$6/12)/($C$5*12*10),"0.0")&amp;"x!"</f>
        <v>Money grew 1.9x!</v>
      </c>
      <c r="F28" s="101"/>
      <c r="G28" s="68"/>
      <c r="H28" s="6"/>
    </row>
    <row r="29" ht="21.75" customHeight="1">
      <c r="A29" s="6"/>
      <c r="B29" s="97" t="s">
        <v>88</v>
      </c>
      <c r="C29" s="98" t="str">
        <f>"₹"&amp;TEXT($C$5*(((1+$C$6/12)^(15*12)-1)/($C$6/12))*(1+$C$6/12)/100000,"0.0")&amp;"L corpus"</f>
        <v>₹50.5L corpus</v>
      </c>
      <c r="D29" s="99" t="str">
        <f>"₹"&amp;TEXT($C$5*12*15/100000,"0.0")&amp;"L invested"</f>
        <v>₹18.0L invested</v>
      </c>
      <c r="E29" s="100" t="str">
        <f>"Money grew "&amp;TEXT($C$5*(((1+$C$6/12)^(15*12)-1)/($C$6/12))*(1+$C$6/12)/($C$5*12*15),"0.0")&amp;"x!"</f>
        <v>Money grew 2.8x!</v>
      </c>
      <c r="F29" s="101"/>
      <c r="G29" s="68"/>
      <c r="H29" s="6"/>
    </row>
    <row r="30" ht="21.75" customHeight="1">
      <c r="A30" s="6"/>
      <c r="B30" s="97" t="s">
        <v>89</v>
      </c>
      <c r="C30" s="98" t="str">
        <f>"₹"&amp;TEXT($C$5*(((1+$C$6/12)^(20*12)-1)/($C$6/12))*(1+$C$6/12)/100000,"0.0")&amp;"L corpus"</f>
        <v>₹99.9L corpus</v>
      </c>
      <c r="D30" s="99" t="str">
        <f>"₹"&amp;TEXT($C$5*12*20/100000,"0.0")&amp;"L invested"</f>
        <v>₹24.0L invested</v>
      </c>
      <c r="E30" s="100" t="str">
        <f>"Money grew "&amp;TEXT($C$5*(((1+$C$6/12)^(20*12)-1)/($C$6/12))*(1+$C$6/12)/($C$5*12*20),"0.0")&amp;"x!"</f>
        <v>Money grew 4.2x!</v>
      </c>
      <c r="F30" s="101"/>
      <c r="G30" s="68"/>
      <c r="H30" s="6"/>
    </row>
    <row r="31" ht="21.75" customHeight="1">
      <c r="A31" s="6"/>
      <c r="B31" s="97" t="s">
        <v>90</v>
      </c>
      <c r="C31" s="98" t="str">
        <f>"₹"&amp;TEXT($C$5*(((1+$C$6/12)^(25*12)-1)/($C$6/12))*(1+$C$6/12)/100000,"0.0")&amp;"L corpus"</f>
        <v>₹189.8L corpus</v>
      </c>
      <c r="D31" s="99" t="str">
        <f>"₹"&amp;TEXT($C$5*12*25/100000,"0.0")&amp;"L invested"</f>
        <v>₹30.0L invested</v>
      </c>
      <c r="E31" s="100" t="str">
        <f>"Money grew "&amp;TEXT($C$5*(((1+$C$6/12)^(25*12)-1)/($C$6/12))*(1+$C$6/12)/($C$5*12*25),"0.0")&amp;"x!"</f>
        <v>Money grew 6.3x!</v>
      </c>
      <c r="F31" s="101"/>
      <c r="G31" s="68"/>
      <c r="H31" s="6"/>
    </row>
    <row r="32" ht="21.75" customHeight="1">
      <c r="A32" s="6"/>
      <c r="B32" s="97" t="s">
        <v>91</v>
      </c>
      <c r="C32" s="98" t="str">
        <f>"₹"&amp;TEXT($C$5*(((1+$C$6/12)^(30*12)-1)/($C$6/12))*(1+$C$6/12)/100000,"0.0")&amp;"L corpus"</f>
        <v>₹353.0L corpus</v>
      </c>
      <c r="D32" s="99" t="str">
        <f>"₹"&amp;TEXT($C$5*12*30/100000,"0.0")&amp;"L invested"</f>
        <v>₹36.0L invested</v>
      </c>
      <c r="E32" s="100" t="str">
        <f>"Money grew "&amp;TEXT($C$5*(((1+$C$6/12)^(30*12)-1)/($C$6/12))*(1+$C$6/12)/($C$5*12*30),"0.0")&amp;"x!"</f>
        <v>Money grew 9.8x!</v>
      </c>
      <c r="F32" s="101"/>
      <c r="G32" s="68"/>
      <c r="H32" s="6"/>
    </row>
    <row r="33" ht="21.75" customHeight="1">
      <c r="A33" s="6"/>
      <c r="B33" s="97" t="s">
        <v>92</v>
      </c>
      <c r="C33" s="98" t="str">
        <f>"₹"&amp;TEXT($C$5*(((1+$C$6/12)^(35*12)-1)/($C$6/12))*(1+$C$6/12)/100000,"0.0")&amp;"L corpus"</f>
        <v>₹649.5L corpus</v>
      </c>
      <c r="D33" s="99" t="str">
        <f>"₹"&amp;TEXT($C$5*12*35/100000,"0.0")&amp;"L invested"</f>
        <v>₹42.0L invested</v>
      </c>
      <c r="E33" s="100" t="str">
        <f>"Money grew "&amp;TEXT($C$5*(((1+$C$6/12)^(35*12)-1)/($C$6/12))*(1+$C$6/12)/($C$5*12*35),"0.0")&amp;"x!"</f>
        <v>Money grew 15.5x!</v>
      </c>
      <c r="F33" s="101"/>
      <c r="G33" s="68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mergeCells count="17">
    <mergeCell ref="A1:H1"/>
    <mergeCell ref="A2:H2"/>
    <mergeCell ref="B4:C4"/>
    <mergeCell ref="D5:G5"/>
    <mergeCell ref="D6:G6"/>
    <mergeCell ref="D7:G7"/>
    <mergeCell ref="D8:G8"/>
    <mergeCell ref="E31:G31"/>
    <mergeCell ref="E32:G32"/>
    <mergeCell ref="E33:G33"/>
    <mergeCell ref="B10:G10"/>
    <mergeCell ref="B24:G24"/>
    <mergeCell ref="B26:G26"/>
    <mergeCell ref="E27:G27"/>
    <mergeCell ref="E28:G28"/>
    <mergeCell ref="E29:G29"/>
    <mergeCell ref="E30:G3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0.0"/>
    <col customWidth="1" min="4" max="4" width="3.0"/>
    <col customWidth="1" min="5" max="5" width="30.0"/>
    <col customWidth="1" min="6" max="6" width="20.0"/>
    <col customWidth="1" min="7" max="7" width="3.0"/>
    <col customWidth="1" min="8" max="26" width="8.71"/>
  </cols>
  <sheetData>
    <row r="1" ht="49.5" customHeight="1">
      <c r="A1" s="102" t="s">
        <v>93</v>
      </c>
      <c r="B1" s="2"/>
      <c r="C1" s="2"/>
      <c r="D1" s="2"/>
      <c r="E1" s="2"/>
      <c r="F1" s="2"/>
      <c r="G1" s="3"/>
    </row>
    <row r="2" ht="21.75" customHeight="1">
      <c r="A2" s="48" t="s">
        <v>94</v>
      </c>
      <c r="B2" s="2"/>
      <c r="C2" s="2"/>
      <c r="D2" s="2"/>
      <c r="E2" s="2"/>
      <c r="F2" s="2"/>
      <c r="G2" s="3"/>
    </row>
    <row r="3">
      <c r="A3" s="6"/>
      <c r="B3" s="6"/>
      <c r="C3" s="6"/>
      <c r="D3" s="6"/>
      <c r="E3" s="6"/>
      <c r="F3" s="6"/>
      <c r="G3" s="6"/>
    </row>
    <row r="4" ht="15.0" customHeight="1">
      <c r="A4" s="6"/>
      <c r="B4" s="51" t="s">
        <v>95</v>
      </c>
      <c r="C4" s="50"/>
      <c r="D4" s="6"/>
      <c r="E4" s="96" t="s">
        <v>96</v>
      </c>
      <c r="F4" s="50"/>
      <c r="G4" s="6"/>
    </row>
    <row r="5" ht="24.0" customHeight="1">
      <c r="A5" s="6"/>
      <c r="B5" s="52" t="s">
        <v>73</v>
      </c>
      <c r="C5" s="57">
        <v>15000.0</v>
      </c>
      <c r="D5" s="6"/>
      <c r="E5" s="52" t="s">
        <v>97</v>
      </c>
      <c r="F5" s="57">
        <v>5000000.0</v>
      </c>
      <c r="G5" s="6"/>
    </row>
    <row r="6" ht="24.0" customHeight="1">
      <c r="A6" s="6"/>
      <c r="B6" s="52" t="s">
        <v>98</v>
      </c>
      <c r="C6" s="58">
        <v>0.12</v>
      </c>
      <c r="D6" s="6"/>
      <c r="E6" s="52" t="s">
        <v>99</v>
      </c>
      <c r="F6" s="58">
        <v>0.0875</v>
      </c>
      <c r="G6" s="6"/>
    </row>
    <row r="7" ht="24.0" customHeight="1">
      <c r="A7" s="6"/>
      <c r="B7" s="52" t="s">
        <v>100</v>
      </c>
      <c r="C7" s="53">
        <v>20.0</v>
      </c>
      <c r="D7" s="6"/>
      <c r="E7" s="52" t="s">
        <v>101</v>
      </c>
      <c r="F7" s="53">
        <v>20.0</v>
      </c>
      <c r="G7" s="6"/>
    </row>
    <row r="8" ht="24.0" customHeight="1">
      <c r="A8" s="6"/>
      <c r="B8" s="52" t="s">
        <v>102</v>
      </c>
      <c r="C8" s="58">
        <v>0.1</v>
      </c>
      <c r="D8" s="6"/>
      <c r="E8" s="52" t="s">
        <v>103</v>
      </c>
      <c r="F8" s="57">
        <v>1000000.0</v>
      </c>
      <c r="G8" s="6"/>
    </row>
    <row r="9" ht="24.0" customHeight="1">
      <c r="A9" s="6"/>
      <c r="B9" s="6"/>
      <c r="C9" s="6"/>
      <c r="D9" s="6"/>
      <c r="E9" s="52" t="s">
        <v>104</v>
      </c>
      <c r="F9" s="58">
        <v>0.06</v>
      </c>
      <c r="G9" s="6"/>
    </row>
    <row r="10" ht="15.0" customHeight="1">
      <c r="A10" s="6"/>
      <c r="B10" s="51" t="s">
        <v>105</v>
      </c>
      <c r="C10" s="50"/>
      <c r="D10" s="6"/>
      <c r="E10" s="96" t="s">
        <v>106</v>
      </c>
      <c r="F10" s="50"/>
      <c r="G10" s="6"/>
    </row>
    <row r="11" ht="24.0" customHeight="1">
      <c r="A11" s="6"/>
      <c r="B11" s="61" t="s">
        <v>107</v>
      </c>
      <c r="C11" s="69">
        <f>C5*(((1+C6/12)^(C7*12)-1)/(C6/12))*(1+C6/12)</f>
        <v>14987218.79</v>
      </c>
      <c r="D11" s="6"/>
      <c r="E11" s="61" t="s">
        <v>108</v>
      </c>
      <c r="F11" s="103">
        <f>F5*(F6/12*(1+F6/12)^(F7*12))/((1+F6/12)^(F7*12)-1)</f>
        <v>44185.53545</v>
      </c>
      <c r="G11" s="6"/>
    </row>
    <row r="12" ht="24.0" customHeight="1">
      <c r="A12" s="6"/>
      <c r="B12" s="61" t="s">
        <v>109</v>
      </c>
      <c r="C12" s="69">
        <f>C5*12*C7</f>
        <v>3600000</v>
      </c>
      <c r="D12" s="6"/>
      <c r="E12" s="61" t="s">
        <v>110</v>
      </c>
      <c r="F12" s="103">
        <f>F11*F7*12</f>
        <v>10604528.51</v>
      </c>
      <c r="G12" s="6"/>
    </row>
    <row r="13" ht="24.0" customHeight="1">
      <c r="A13" s="6"/>
      <c r="B13" s="61" t="s">
        <v>111</v>
      </c>
      <c r="C13" s="69">
        <f>C11-C12</f>
        <v>11387218.79</v>
      </c>
      <c r="D13" s="6"/>
      <c r="E13" s="61" t="s">
        <v>112</v>
      </c>
      <c r="F13" s="103">
        <f>F12-F5</f>
        <v>5604528.507</v>
      </c>
      <c r="G13" s="6"/>
    </row>
    <row r="14" ht="24.0" customHeight="1">
      <c r="A14" s="6"/>
      <c r="B14" s="61" t="s">
        <v>113</v>
      </c>
      <c r="C14" s="69">
        <f>C5*12*((((1+C6)^C7-(1+C8)^C7))/(C6-C8))*(1+C6)</f>
        <v>29421434.89</v>
      </c>
      <c r="D14" s="6"/>
      <c r="E14" s="61" t="s">
        <v>114</v>
      </c>
      <c r="F14" s="103">
        <f>F5*(1+F9)^F7</f>
        <v>16035677.36</v>
      </c>
      <c r="G14" s="6"/>
    </row>
    <row r="15" ht="24.0" customHeight="1">
      <c r="A15" s="6"/>
      <c r="B15" s="61" t="s">
        <v>115</v>
      </c>
      <c r="C15" s="104">
        <f>C11/(C5*12*C7)</f>
        <v>4.163116329</v>
      </c>
      <c r="D15" s="6"/>
      <c r="E15" s="61" t="s">
        <v>116</v>
      </c>
      <c r="F15" s="103">
        <f>F14-(F5+F8+F13)</f>
        <v>4431148.854</v>
      </c>
      <c r="G15" s="6"/>
    </row>
    <row r="16" ht="24.0" customHeight="1">
      <c r="A16" s="6"/>
      <c r="B16" s="6"/>
      <c r="C16" s="6"/>
      <c r="D16" s="6"/>
      <c r="E16" s="61" t="s">
        <v>117</v>
      </c>
      <c r="F16" s="103">
        <f>F11*(((1+C6/12)^(F7*12)-1)/(C6/12))*(1+C6/12)</f>
        <v>44147885.79</v>
      </c>
      <c r="G16" s="6"/>
    </row>
    <row r="17" ht="24.0" customHeight="1">
      <c r="A17" s="6"/>
      <c r="B17" s="6"/>
      <c r="C17" s="6"/>
      <c r="D17" s="6"/>
      <c r="E17" s="61" t="s">
        <v>118</v>
      </c>
      <c r="F17" s="103">
        <f>F16-F15</f>
        <v>39716736.94</v>
      </c>
      <c r="G17" s="6"/>
    </row>
    <row r="18">
      <c r="A18" s="6"/>
      <c r="B18" s="6"/>
      <c r="C18" s="6"/>
      <c r="D18" s="6"/>
      <c r="E18" s="6"/>
      <c r="F18" s="6"/>
      <c r="G18" s="6"/>
    </row>
    <row r="19" ht="25.5" customHeight="1">
      <c r="A19" s="6"/>
      <c r="B19" s="105" t="s">
        <v>119</v>
      </c>
      <c r="C19" s="75"/>
      <c r="D19" s="75"/>
      <c r="E19" s="75"/>
      <c r="F19" s="50"/>
      <c r="G19" s="6"/>
    </row>
    <row r="20" ht="24.0" customHeight="1">
      <c r="A20" s="6"/>
      <c r="B20" s="52" t="s">
        <v>120</v>
      </c>
      <c r="C20" s="106">
        <f>C5+F11</f>
        <v>59185.53545</v>
      </c>
      <c r="D20" s="6"/>
      <c r="E20" s="6"/>
      <c r="F20" s="6"/>
      <c r="G20" s="6"/>
    </row>
    <row r="21" ht="24.0" customHeight="1">
      <c r="A21" s="6"/>
      <c r="B21" s="52" t="s">
        <v>121</v>
      </c>
      <c r="C21" s="106">
        <f>C11</f>
        <v>14987218.79</v>
      </c>
      <c r="D21" s="6"/>
      <c r="E21" s="6"/>
      <c r="F21" s="6"/>
      <c r="G21" s="6"/>
    </row>
    <row r="22" ht="24.0" customHeight="1">
      <c r="A22" s="6"/>
      <c r="B22" s="52" t="s">
        <v>122</v>
      </c>
      <c r="C22" s="106">
        <f>F14-F13</f>
        <v>10431148.85</v>
      </c>
      <c r="D22" s="6"/>
      <c r="E22" s="6"/>
      <c r="F22" s="6"/>
      <c r="G22" s="6"/>
    </row>
    <row r="23" ht="24.0" customHeight="1">
      <c r="A23" s="6"/>
      <c r="B23" s="52" t="s">
        <v>123</v>
      </c>
      <c r="C23" s="106">
        <f>C21+C22</f>
        <v>25418367.64</v>
      </c>
      <c r="D23" s="6"/>
      <c r="E23" s="6"/>
      <c r="F23" s="6"/>
      <c r="G23" s="6"/>
    </row>
    <row r="24" ht="24.0" customHeight="1">
      <c r="A24" s="6"/>
      <c r="B24" s="107" t="s">
        <v>124</v>
      </c>
      <c r="C24" s="57">
        <v>200000.0</v>
      </c>
      <c r="D24" s="6"/>
      <c r="E24" s="6"/>
      <c r="F24" s="6"/>
      <c r="G24" s="6"/>
    </row>
    <row r="25" ht="24.0" customHeight="1">
      <c r="A25" s="6"/>
      <c r="B25" s="52" t="s">
        <v>125</v>
      </c>
      <c r="C25" s="106">
        <f>(F11*12-C24)/12</f>
        <v>27518.86878</v>
      </c>
      <c r="D25" s="6"/>
      <c r="E25" s="6"/>
      <c r="F25" s="6"/>
      <c r="G25" s="6"/>
    </row>
    <row r="26" ht="30.0" customHeight="1">
      <c r="A26" s="6"/>
      <c r="B26" s="108" t="str">
        <f>IF(C23&gt;(C11+F14),"✅ Balanced approach beats pure SIP by ₹"&amp;TEXT(C23-C11,"#,##0"),"📊 Review strategy — pure SIP may be better")</f>
        <v>📊 Review strategy — pure SIP may be better</v>
      </c>
      <c r="C26" s="109"/>
      <c r="D26" s="109"/>
      <c r="E26" s="109"/>
      <c r="F26" s="110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mergeCells count="8">
    <mergeCell ref="A1:G1"/>
    <mergeCell ref="A2:G2"/>
    <mergeCell ref="B4:C4"/>
    <mergeCell ref="E4:F4"/>
    <mergeCell ref="B10:C10"/>
    <mergeCell ref="E10:F10"/>
    <mergeCell ref="B19:F19"/>
    <mergeCell ref="B26:F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2.0"/>
    <col customWidth="1" min="4" max="4" width="3.0"/>
    <col customWidth="1" min="5" max="5" width="28.0"/>
    <col customWidth="1" min="6" max="6" width="20.0"/>
    <col customWidth="1" min="7" max="7" width="3.0"/>
    <col customWidth="1" min="8" max="26" width="8.71"/>
  </cols>
  <sheetData>
    <row r="1" ht="49.5" customHeight="1">
      <c r="A1" s="111" t="s">
        <v>126</v>
      </c>
      <c r="B1" s="2"/>
      <c r="C1" s="2"/>
      <c r="D1" s="2"/>
      <c r="E1" s="2"/>
      <c r="F1" s="2"/>
      <c r="G1" s="3"/>
    </row>
    <row r="2" ht="21.75" customHeight="1">
      <c r="A2" s="48" t="s">
        <v>127</v>
      </c>
      <c r="B2" s="2"/>
      <c r="C2" s="2"/>
      <c r="D2" s="2"/>
      <c r="E2" s="2"/>
      <c r="F2" s="2"/>
      <c r="G2" s="3"/>
    </row>
    <row r="3">
      <c r="A3" s="6"/>
      <c r="B3" s="6"/>
      <c r="C3" s="6"/>
      <c r="D3" s="6"/>
      <c r="E3" s="6"/>
      <c r="F3" s="6"/>
      <c r="G3" s="6"/>
    </row>
    <row r="4" ht="15.0" customHeight="1">
      <c r="A4" s="6"/>
      <c r="B4" s="112" t="s">
        <v>128</v>
      </c>
      <c r="C4" s="50"/>
      <c r="D4" s="6"/>
      <c r="E4" s="51" t="s">
        <v>129</v>
      </c>
      <c r="F4" s="50"/>
      <c r="G4" s="6"/>
    </row>
    <row r="5" ht="24.0" customHeight="1">
      <c r="A5" s="6"/>
      <c r="B5" s="52" t="s">
        <v>28</v>
      </c>
      <c r="C5" s="74">
        <v>58.0</v>
      </c>
      <c r="D5" s="6"/>
      <c r="E5" s="52" t="s">
        <v>130</v>
      </c>
      <c r="F5" s="113">
        <f>'🗓 Freedom Date'!C16</f>
        <v>18000000</v>
      </c>
      <c r="G5" s="6"/>
    </row>
    <row r="6" ht="24.0" customHeight="1">
      <c r="A6" s="6"/>
      <c r="B6" s="52" t="s">
        <v>131</v>
      </c>
      <c r="C6" s="114">
        <v>1999.0</v>
      </c>
      <c r="D6" s="6"/>
      <c r="E6" s="52" t="s">
        <v>132</v>
      </c>
      <c r="F6" s="113">
        <f>'🗓 Freedom Date'!C11</f>
        <v>1000000</v>
      </c>
      <c r="G6" s="6"/>
    </row>
    <row r="7" ht="24.0" customHeight="1">
      <c r="A7" s="6"/>
      <c r="B7" s="52" t="s">
        <v>44</v>
      </c>
      <c r="C7" s="57">
        <v>60000.0</v>
      </c>
      <c r="D7" s="6"/>
      <c r="E7" s="52" t="s">
        <v>133</v>
      </c>
      <c r="F7" s="113">
        <f>F5-F6</f>
        <v>17000000</v>
      </c>
      <c r="G7" s="6"/>
    </row>
    <row r="8" ht="24.0" customHeight="1">
      <c r="A8" s="6"/>
      <c r="B8" s="52" t="s">
        <v>134</v>
      </c>
      <c r="C8" s="58">
        <v>0.06</v>
      </c>
      <c r="D8" s="6"/>
      <c r="E8" s="52" t="s">
        <v>135</v>
      </c>
      <c r="F8" s="115">
        <f>F6/F5</f>
        <v>0.05555555556</v>
      </c>
      <c r="G8" s="6"/>
    </row>
    <row r="9" ht="24.0" customHeight="1">
      <c r="A9" s="6"/>
      <c r="B9" s="52" t="s">
        <v>136</v>
      </c>
      <c r="C9" s="58">
        <v>0.12</v>
      </c>
      <c r="D9" s="6"/>
      <c r="E9" s="52" t="s">
        <v>137</v>
      </c>
      <c r="F9" s="116">
        <f>'🗓 Freedom Date'!C18</f>
        <v>15.88824878</v>
      </c>
      <c r="G9" s="6"/>
    </row>
    <row r="10" ht="24.0" customHeight="1">
      <c r="A10" s="6"/>
      <c r="B10" s="52" t="s">
        <v>138</v>
      </c>
      <c r="C10" s="58">
        <v>0.04</v>
      </c>
      <c r="D10" s="6"/>
      <c r="E10" s="52" t="s">
        <v>139</v>
      </c>
      <c r="F10" s="113">
        <f>'🗓 Freedom Date'!C12</f>
        <v>30000</v>
      </c>
      <c r="G10" s="6"/>
    </row>
    <row r="11" ht="24.0" customHeight="1">
      <c r="A11" s="6"/>
      <c r="B11" s="52" t="s">
        <v>140</v>
      </c>
      <c r="C11" s="57">
        <v>1000000.0</v>
      </c>
      <c r="D11" s="6"/>
      <c r="E11" s="52" t="s">
        <v>141</v>
      </c>
      <c r="F11" s="117" t="str">
        <f>IF(F8&lt;0.25,"🌱 Early Stage",IF(F8&lt;0.5,"🌿 Growing",IF(F8&lt;0.75,"🌳 Halfway!",IF(F8&lt;1,"🔥 Almost There!","🎊 FI ACHIEVED!"))))</f>
        <v>🌱 Early Stage</v>
      </c>
      <c r="G11" s="6"/>
    </row>
    <row r="12" ht="24.0" customHeight="1">
      <c r="A12" s="6"/>
      <c r="B12" s="52" t="s">
        <v>142</v>
      </c>
      <c r="C12" s="57">
        <v>30000.0</v>
      </c>
      <c r="D12" s="6"/>
      <c r="E12" s="6"/>
      <c r="F12" s="6"/>
      <c r="G12" s="6"/>
    </row>
    <row r="13" ht="24.0" customHeight="1">
      <c r="A13" s="6"/>
      <c r="B13" s="52" t="s">
        <v>143</v>
      </c>
      <c r="C13" s="58">
        <v>0.1</v>
      </c>
      <c r="D13" s="6"/>
      <c r="E13" s="112" t="s">
        <v>144</v>
      </c>
      <c r="F13" s="50"/>
      <c r="G13" s="6"/>
    </row>
    <row r="14" ht="24.0" customHeight="1">
      <c r="A14" s="6"/>
      <c r="B14" s="6"/>
      <c r="C14" s="6"/>
      <c r="D14" s="6"/>
      <c r="E14" s="61" t="s">
        <v>145</v>
      </c>
      <c r="F14" s="118">
        <f>C16*0.04</f>
        <v>720000</v>
      </c>
      <c r="G14" s="6"/>
    </row>
    <row r="15" ht="24.0" customHeight="1">
      <c r="A15" s="6"/>
      <c r="B15" s="112" t="s">
        <v>146</v>
      </c>
      <c r="C15" s="50"/>
      <c r="D15" s="6"/>
      <c r="E15" s="61" t="s">
        <v>147</v>
      </c>
      <c r="F15" s="118">
        <f>F14/12</f>
        <v>60000</v>
      </c>
      <c r="G15" s="6"/>
    </row>
    <row r="16" ht="24.0" customHeight="1">
      <c r="A16" s="6"/>
      <c r="B16" s="61" t="s">
        <v>148</v>
      </c>
      <c r="C16" s="69">
        <f>C7*12/C10</f>
        <v>18000000</v>
      </c>
      <c r="D16" s="6"/>
      <c r="E16" s="61" t="s">
        <v>149</v>
      </c>
      <c r="F16" s="118">
        <f>F15*(1+C8)^10</f>
        <v>107450.8618</v>
      </c>
      <c r="G16" s="6"/>
    </row>
    <row r="17" ht="24.0" customHeight="1">
      <c r="A17" s="6"/>
      <c r="B17" s="61" t="s">
        <v>150</v>
      </c>
      <c r="C17" s="69">
        <f>C7*12*(1+C8)^20/C10</f>
        <v>57728438.5</v>
      </c>
      <c r="D17" s="6"/>
      <c r="E17" s="61" t="s">
        <v>151</v>
      </c>
      <c r="F17" s="118">
        <f>F15*(1+C8)^20</f>
        <v>192428.1283</v>
      </c>
      <c r="G17" s="6"/>
    </row>
    <row r="18" ht="24.0" customHeight="1">
      <c r="A18" s="6"/>
      <c r="B18" s="61" t="s">
        <v>152</v>
      </c>
      <c r="C18" s="119">
        <f>LN((C16-C11)*(C9/12)/(C12)+1)/(LN(1+C9/12)*12)</f>
        <v>15.88824878</v>
      </c>
      <c r="D18" s="6"/>
      <c r="E18" s="61" t="s">
        <v>153</v>
      </c>
      <c r="F18" s="118">
        <f>C16*1.5</f>
        <v>27000000</v>
      </c>
      <c r="G18" s="6"/>
    </row>
    <row r="19" ht="24.0" customHeight="1">
      <c r="A19" s="6"/>
      <c r="B19" s="61" t="s">
        <v>154</v>
      </c>
      <c r="C19" s="119">
        <f>LN(C16*C9/(C12*12)+1)/LN(1+C9)</f>
        <v>17.17049963</v>
      </c>
      <c r="D19" s="6"/>
      <c r="E19" s="6"/>
      <c r="F19" s="6"/>
      <c r="G19" s="6"/>
    </row>
    <row r="20" ht="24.0" customHeight="1">
      <c r="A20" s="6"/>
      <c r="B20" s="61" t="s">
        <v>155</v>
      </c>
      <c r="C20" s="120">
        <f>(C6+C5)+C18</f>
        <v>2072.888249</v>
      </c>
      <c r="D20" s="6"/>
      <c r="E20" s="6"/>
      <c r="F20" s="6"/>
      <c r="G20" s="6"/>
    </row>
    <row r="21" ht="24.0" customHeight="1">
      <c r="A21" s="6"/>
      <c r="B21" s="61" t="s">
        <v>156</v>
      </c>
      <c r="C21" s="121">
        <f>C20-C6</f>
        <v>73.88824878</v>
      </c>
      <c r="D21" s="6"/>
      <c r="E21" s="6"/>
      <c r="F21" s="6"/>
      <c r="G21" s="6"/>
    </row>
    <row r="22" ht="24.0" customHeight="1">
      <c r="A22" s="6"/>
      <c r="B22" s="6"/>
      <c r="C22" s="6"/>
      <c r="D22" s="6"/>
      <c r="E22" s="6"/>
      <c r="F22" s="6"/>
      <c r="G22" s="6"/>
    </row>
    <row r="23" ht="34.5" customHeight="1">
      <c r="A23" s="6"/>
      <c r="B23" s="122" t="str">
        <f>CONCATENATE("🎉 YOUR FINANCIAL FREEDOM DATE: ",CHOOSE(MIN(12,MAX(1,ROUND((C20-INT(C20))*12+1,0))),"January","February","March","April","May","June","July","August","September","October","November","December")," 1, ",TEXT(INT(C20),"0")," at age ",TEXT(C21,"0.0"),"!")</f>
        <v>🎉 YOUR FINANCIAL FREEDOM DATE: December 1, 2072 at age 73.9!</v>
      </c>
      <c r="C23" s="123"/>
      <c r="D23" s="6"/>
      <c r="E23" s="6"/>
      <c r="F23" s="6"/>
      <c r="G23" s="6"/>
    </row>
    <row r="24" ht="34.5" customHeight="1">
      <c r="A24" s="6"/>
      <c r="B24" s="124"/>
      <c r="C24" s="18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0" customHeight="1">
      <c r="A26" s="6"/>
      <c r="B26" s="66" t="s">
        <v>157</v>
      </c>
      <c r="C26" s="75"/>
      <c r="D26" s="75"/>
      <c r="E26" s="75"/>
      <c r="F26" s="50"/>
      <c r="G26" s="6"/>
    </row>
    <row r="27" ht="15.0" customHeight="1">
      <c r="A27" s="6"/>
      <c r="B27" s="125" t="s">
        <v>158</v>
      </c>
      <c r="C27" s="68"/>
      <c r="D27" s="54" t="s">
        <v>159</v>
      </c>
      <c r="E27" s="125" t="s">
        <v>160</v>
      </c>
      <c r="F27" s="68"/>
      <c r="G27" s="6"/>
    </row>
    <row r="28" ht="21.75" customHeight="1">
      <c r="A28" s="6"/>
      <c r="B28" s="126" t="s">
        <v>161</v>
      </c>
      <c r="C28" s="127"/>
      <c r="D28" s="128" t="str">
        <f>"₹"&amp;TEXT(C7/100000,"0.0")&amp;"L"</f>
        <v>₹0.6L</v>
      </c>
      <c r="E28" s="129" t="s">
        <v>162</v>
      </c>
      <c r="F28" s="127"/>
      <c r="G28" s="6"/>
    </row>
    <row r="29" ht="21.75" customHeight="1">
      <c r="A29" s="6"/>
      <c r="B29" s="130" t="s">
        <v>163</v>
      </c>
      <c r="C29" s="127"/>
      <c r="D29" s="131" t="str">
        <f>"₹"&amp;TEXT(C7*6/100000,"0.0")&amp;"L"</f>
        <v>₹3.6L</v>
      </c>
      <c r="E29" s="132" t="s">
        <v>164</v>
      </c>
      <c r="F29" s="127"/>
      <c r="G29" s="6"/>
    </row>
    <row r="30" ht="21.75" customHeight="1">
      <c r="A30" s="6"/>
      <c r="B30" s="133" t="s">
        <v>165</v>
      </c>
      <c r="C30" s="127"/>
      <c r="D30" s="134" t="str">
        <f>"₹"&amp;TEXT(C7*12*25/10000000,"0.00")&amp;"Cr"</f>
        <v>₹1.80Cr</v>
      </c>
      <c r="E30" s="135" t="s">
        <v>166</v>
      </c>
      <c r="F30" s="127"/>
      <c r="G30" s="6"/>
    </row>
    <row r="31" ht="21.75" customHeight="1">
      <c r="A31" s="6"/>
      <c r="B31" s="136" t="s">
        <v>167</v>
      </c>
      <c r="C31" s="127"/>
      <c r="D31" s="137" t="str">
        <f>"₹"&amp;TEXT(C7*12*33/10000000,"0.00")&amp;"Cr"</f>
        <v>₹2.38Cr</v>
      </c>
      <c r="E31" s="138" t="s">
        <v>168</v>
      </c>
      <c r="F31" s="127"/>
      <c r="G31" s="6"/>
    </row>
    <row r="32" ht="21.75" customHeight="1">
      <c r="A32" s="6"/>
      <c r="B32" s="139" t="s">
        <v>169</v>
      </c>
      <c r="C32" s="127"/>
      <c r="D32" s="140" t="str">
        <f>"₹"&amp;TEXT(C7*12*40/10000000,"0.00")&amp;"Cr"</f>
        <v>₹2.88Cr</v>
      </c>
      <c r="E32" s="141" t="s">
        <v>170</v>
      </c>
      <c r="F32" s="127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mergeCells count="20">
    <mergeCell ref="A1:G1"/>
    <mergeCell ref="A2:G2"/>
    <mergeCell ref="B4:C4"/>
    <mergeCell ref="E4:F4"/>
    <mergeCell ref="E13:F13"/>
    <mergeCell ref="B15:C15"/>
    <mergeCell ref="B23:C24"/>
    <mergeCell ref="E29:F29"/>
    <mergeCell ref="E30:F30"/>
    <mergeCell ref="B31:C31"/>
    <mergeCell ref="E31:F31"/>
    <mergeCell ref="B32:C32"/>
    <mergeCell ref="E32:F32"/>
    <mergeCell ref="B26:F26"/>
    <mergeCell ref="B27:C27"/>
    <mergeCell ref="E27:F27"/>
    <mergeCell ref="B28:C28"/>
    <mergeCell ref="E28:F28"/>
    <mergeCell ref="B29:C29"/>
    <mergeCell ref="B30:C3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8" width="16.0"/>
    <col customWidth="1" min="9" max="9" width="3.0"/>
    <col customWidth="1" min="10" max="26" width="8.71"/>
  </cols>
  <sheetData>
    <row r="1" ht="49.5" customHeight="1">
      <c r="A1" s="142" t="s">
        <v>171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8" t="s">
        <v>172</v>
      </c>
      <c r="B2" s="2"/>
      <c r="C2" s="2"/>
      <c r="D2" s="2"/>
      <c r="E2" s="2"/>
      <c r="F2" s="2"/>
      <c r="G2" s="2"/>
      <c r="H2" s="2"/>
      <c r="I2" s="3"/>
    </row>
    <row r="3">
      <c r="A3" s="6"/>
      <c r="B3" s="6"/>
      <c r="C3" s="6"/>
      <c r="D3" s="6"/>
      <c r="E3" s="6"/>
      <c r="F3" s="6"/>
      <c r="G3" s="6"/>
      <c r="H3" s="6"/>
      <c r="I3" s="6"/>
    </row>
    <row r="4" ht="25.5" customHeight="1">
      <c r="A4" s="6"/>
      <c r="B4" s="66" t="s">
        <v>173</v>
      </c>
      <c r="C4" s="75"/>
      <c r="D4" s="75"/>
      <c r="E4" s="75"/>
      <c r="F4" s="75"/>
      <c r="G4" s="75"/>
      <c r="H4" s="50"/>
      <c r="I4" s="6"/>
    </row>
    <row r="5" ht="30.0" customHeight="1">
      <c r="A5" s="6"/>
      <c r="B5" s="76" t="s">
        <v>174</v>
      </c>
      <c r="C5" s="76" t="s">
        <v>175</v>
      </c>
      <c r="D5" s="76" t="s">
        <v>176</v>
      </c>
      <c r="E5" s="76" t="s">
        <v>177</v>
      </c>
      <c r="F5" s="76" t="s">
        <v>178</v>
      </c>
      <c r="G5" s="76" t="s">
        <v>179</v>
      </c>
      <c r="H5" s="76" t="s">
        <v>180</v>
      </c>
      <c r="I5" s="6"/>
    </row>
    <row r="6" ht="24.0" customHeight="1">
      <c r="A6" s="6"/>
      <c r="B6" s="143" t="s">
        <v>181</v>
      </c>
      <c r="C6" s="144">
        <v>360000.0</v>
      </c>
      <c r="D6" s="144">
        <v>80000.0</v>
      </c>
      <c r="E6" s="144">
        <v>20000.0</v>
      </c>
      <c r="F6" s="145">
        <v>1.0</v>
      </c>
      <c r="G6" s="146">
        <f t="shared" ref="G6:G15" si="1">D6/C6</f>
        <v>0.2222222222</v>
      </c>
      <c r="H6" s="147" t="str">
        <f t="shared" ref="H6:H15" si="2">IF(D6&gt;=C6,"✅ Done!",IF(D6/C6&gt;=0.75,"🔥 Almost!",IF(D6/C6&gt;=0.5,"🌿 Half way",IF(D6/C6&gt;=0.25,"🌱 Growing","🚀 Just Started"))))</f>
        <v>🚀 Just Started</v>
      </c>
      <c r="I6" s="6"/>
    </row>
    <row r="7" ht="24.0" customHeight="1">
      <c r="A7" s="6"/>
      <c r="B7" s="148" t="s">
        <v>182</v>
      </c>
      <c r="C7" s="149">
        <v>3000000.0</v>
      </c>
      <c r="D7" s="149">
        <v>200000.0</v>
      </c>
      <c r="E7" s="149">
        <v>15000.0</v>
      </c>
      <c r="F7" s="150">
        <v>10.0</v>
      </c>
      <c r="G7" s="151">
        <f t="shared" si="1"/>
        <v>0.06666666667</v>
      </c>
      <c r="H7" s="152" t="str">
        <f t="shared" si="2"/>
        <v>🚀 Just Started</v>
      </c>
      <c r="I7" s="6"/>
    </row>
    <row r="8" ht="24.0" customHeight="1">
      <c r="A8" s="6"/>
      <c r="B8" s="153" t="s">
        <v>183</v>
      </c>
      <c r="C8" s="154">
        <v>1500000.0</v>
      </c>
      <c r="D8" s="154">
        <v>300000.0</v>
      </c>
      <c r="E8" s="154">
        <v>25000.0</v>
      </c>
      <c r="F8" s="155">
        <v>4.0</v>
      </c>
      <c r="G8" s="156">
        <f t="shared" si="1"/>
        <v>0.2</v>
      </c>
      <c r="H8" s="157" t="str">
        <f t="shared" si="2"/>
        <v>🚀 Just Started</v>
      </c>
      <c r="I8" s="6"/>
    </row>
    <row r="9" ht="24.0" customHeight="1">
      <c r="A9" s="6"/>
      <c r="B9" s="158" t="s">
        <v>184</v>
      </c>
      <c r="C9" s="159">
        <v>800000.0</v>
      </c>
      <c r="D9" s="159">
        <v>100000.0</v>
      </c>
      <c r="E9" s="159">
        <v>12000.0</v>
      </c>
      <c r="F9" s="160">
        <v>3.0</v>
      </c>
      <c r="G9" s="161">
        <f t="shared" si="1"/>
        <v>0.125</v>
      </c>
      <c r="H9" s="162" t="str">
        <f t="shared" si="2"/>
        <v>🚀 Just Started</v>
      </c>
      <c r="I9" s="6"/>
    </row>
    <row r="10" ht="24.0" customHeight="1">
      <c r="A10" s="6"/>
      <c r="B10" s="163" t="s">
        <v>185</v>
      </c>
      <c r="C10" s="164">
        <v>200000.0</v>
      </c>
      <c r="D10" s="164">
        <v>30000.0</v>
      </c>
      <c r="E10" s="164">
        <v>5000.0</v>
      </c>
      <c r="F10" s="165">
        <v>2.0</v>
      </c>
      <c r="G10" s="166">
        <f t="shared" si="1"/>
        <v>0.15</v>
      </c>
      <c r="H10" s="167" t="str">
        <f t="shared" si="2"/>
        <v>🚀 Just Started</v>
      </c>
      <c r="I10" s="6"/>
    </row>
    <row r="11" ht="24.0" customHeight="1">
      <c r="A11" s="6"/>
      <c r="B11" s="168" t="s">
        <v>186</v>
      </c>
      <c r="C11" s="169">
        <v>2000000.0</v>
      </c>
      <c r="D11" s="169">
        <v>0.0</v>
      </c>
      <c r="E11" s="169">
        <v>8000.0</v>
      </c>
      <c r="F11" s="170">
        <v>18.0</v>
      </c>
      <c r="G11" s="171">
        <f t="shared" si="1"/>
        <v>0</v>
      </c>
      <c r="H11" s="172" t="str">
        <f t="shared" si="2"/>
        <v>🚀 Just Started</v>
      </c>
      <c r="I11" s="6"/>
    </row>
    <row r="12" ht="24.0" customHeight="1">
      <c r="A12" s="6"/>
      <c r="B12" s="143" t="s">
        <v>187</v>
      </c>
      <c r="C12" s="144">
        <v>500000.0</v>
      </c>
      <c r="D12" s="144">
        <v>100000.0</v>
      </c>
      <c r="E12" s="144">
        <v>5000.0</v>
      </c>
      <c r="F12" s="145">
        <v>5.0</v>
      </c>
      <c r="G12" s="146">
        <f t="shared" si="1"/>
        <v>0.2</v>
      </c>
      <c r="H12" s="147" t="str">
        <f t="shared" si="2"/>
        <v>🚀 Just Started</v>
      </c>
      <c r="I12" s="6"/>
    </row>
    <row r="13" ht="24.0" customHeight="1">
      <c r="A13" s="6"/>
      <c r="B13" s="148" t="s">
        <v>188</v>
      </c>
      <c r="C13" s="149">
        <v>1000000.0</v>
      </c>
      <c r="D13" s="149">
        <v>150000.0</v>
      </c>
      <c r="E13" s="149">
        <v>10000.0</v>
      </c>
      <c r="F13" s="150">
        <v>3.0</v>
      </c>
      <c r="G13" s="151">
        <f t="shared" si="1"/>
        <v>0.15</v>
      </c>
      <c r="H13" s="152" t="str">
        <f t="shared" si="2"/>
        <v>🚀 Just Started</v>
      </c>
      <c r="I13" s="6"/>
    </row>
    <row r="14" ht="24.0" customHeight="1">
      <c r="A14" s="6"/>
      <c r="B14" s="158" t="s">
        <v>189</v>
      </c>
      <c r="C14" s="159">
        <v>3.0E7</v>
      </c>
      <c r="D14" s="159">
        <v>500000.0</v>
      </c>
      <c r="E14" s="159">
        <v>30000.0</v>
      </c>
      <c r="F14" s="160">
        <v>25.0</v>
      </c>
      <c r="G14" s="161">
        <f t="shared" si="1"/>
        <v>0.01666666667</v>
      </c>
      <c r="H14" s="162" t="str">
        <f t="shared" si="2"/>
        <v>🚀 Just Started</v>
      </c>
      <c r="I14" s="6"/>
    </row>
    <row r="15" ht="24.0" customHeight="1">
      <c r="A15" s="6"/>
      <c r="B15" s="153" t="s">
        <v>190</v>
      </c>
      <c r="C15" s="154">
        <v>5000000.0</v>
      </c>
      <c r="D15" s="154">
        <v>200000.0</v>
      </c>
      <c r="E15" s="154">
        <v>15000.0</v>
      </c>
      <c r="F15" s="155">
        <v>10.0</v>
      </c>
      <c r="G15" s="156">
        <f t="shared" si="1"/>
        <v>0.04</v>
      </c>
      <c r="H15" s="157" t="str">
        <f t="shared" si="2"/>
        <v>🚀 Just Started</v>
      </c>
      <c r="I15" s="6"/>
    </row>
    <row r="16" ht="27.75" customHeight="1">
      <c r="A16" s="6"/>
      <c r="B16" s="173" t="s">
        <v>191</v>
      </c>
      <c r="C16" s="174">
        <f t="shared" ref="C16:E16" si="3">SUM(C6:C15)</f>
        <v>44360000</v>
      </c>
      <c r="D16" s="174">
        <f t="shared" si="3"/>
        <v>1660000</v>
      </c>
      <c r="E16" s="174">
        <f t="shared" si="3"/>
        <v>145000</v>
      </c>
      <c r="F16" s="175">
        <f>D16/C16</f>
        <v>0.03742110009</v>
      </c>
      <c r="G16" s="6"/>
      <c r="H16" s="6"/>
      <c r="I16" s="6"/>
    </row>
    <row r="17">
      <c r="A17" s="6"/>
      <c r="B17" s="6"/>
      <c r="C17" s="6"/>
      <c r="D17" s="6"/>
      <c r="E17" s="6"/>
      <c r="F17" s="6"/>
      <c r="G17" s="6"/>
      <c r="H17" s="6"/>
      <c r="I17" s="6"/>
    </row>
    <row r="18" ht="25.5" customHeight="1">
      <c r="A18" s="6"/>
      <c r="B18" s="51" t="s">
        <v>192</v>
      </c>
      <c r="C18" s="75"/>
      <c r="D18" s="75"/>
      <c r="E18" s="75"/>
      <c r="F18" s="75"/>
      <c r="G18" s="75"/>
      <c r="H18" s="50"/>
      <c r="I18" s="6"/>
    </row>
    <row r="19" ht="15.0" customHeight="1">
      <c r="A19" s="6"/>
      <c r="B19" s="54" t="s">
        <v>193</v>
      </c>
      <c r="C19" s="54" t="s">
        <v>194</v>
      </c>
      <c r="D19" s="54" t="s">
        <v>195</v>
      </c>
      <c r="E19" s="54" t="s">
        <v>196</v>
      </c>
      <c r="F19" s="54" t="s">
        <v>197</v>
      </c>
      <c r="G19" s="6"/>
      <c r="H19" s="6"/>
      <c r="I19" s="6"/>
    </row>
    <row r="20" ht="21.75" customHeight="1">
      <c r="A20" s="6"/>
      <c r="B20" s="176" t="s">
        <v>181</v>
      </c>
      <c r="C20" s="128" t="s">
        <v>198</v>
      </c>
      <c r="D20" s="128" t="s">
        <v>199</v>
      </c>
      <c r="E20" s="128" t="s">
        <v>200</v>
      </c>
      <c r="F20" s="128" t="s">
        <v>201</v>
      </c>
      <c r="G20" s="6"/>
      <c r="H20" s="6"/>
      <c r="I20" s="6"/>
    </row>
    <row r="21" ht="21.75" customHeight="1">
      <c r="A21" s="6"/>
      <c r="B21" s="176" t="s">
        <v>202</v>
      </c>
      <c r="C21" s="128" t="s">
        <v>198</v>
      </c>
      <c r="D21" s="128" t="s">
        <v>199</v>
      </c>
      <c r="E21" s="128" t="s">
        <v>203</v>
      </c>
      <c r="F21" s="128" t="s">
        <v>204</v>
      </c>
      <c r="G21" s="6"/>
      <c r="H21" s="6"/>
      <c r="I21" s="6"/>
    </row>
    <row r="22" ht="21.75" customHeight="1">
      <c r="A22" s="6"/>
      <c r="B22" s="176" t="s">
        <v>205</v>
      </c>
      <c r="C22" s="128" t="s">
        <v>206</v>
      </c>
      <c r="D22" s="128" t="s">
        <v>207</v>
      </c>
      <c r="E22" s="128" t="s">
        <v>208</v>
      </c>
      <c r="F22" s="128" t="s">
        <v>209</v>
      </c>
      <c r="G22" s="6"/>
      <c r="H22" s="6"/>
      <c r="I22" s="6"/>
    </row>
    <row r="23" ht="21.75" customHeight="1">
      <c r="A23" s="6"/>
      <c r="B23" s="176" t="s">
        <v>210</v>
      </c>
      <c r="C23" s="128" t="s">
        <v>206</v>
      </c>
      <c r="D23" s="128" t="s">
        <v>199</v>
      </c>
      <c r="E23" s="128" t="s">
        <v>211</v>
      </c>
      <c r="F23" s="128" t="s">
        <v>204</v>
      </c>
      <c r="G23" s="6"/>
      <c r="H23" s="6"/>
      <c r="I23" s="6"/>
    </row>
    <row r="24" ht="21.75" customHeight="1">
      <c r="A24" s="6"/>
      <c r="B24" s="177" t="s">
        <v>182</v>
      </c>
      <c r="C24" s="131" t="s">
        <v>212</v>
      </c>
      <c r="D24" s="131" t="s">
        <v>213</v>
      </c>
      <c r="E24" s="131" t="s">
        <v>214</v>
      </c>
      <c r="F24" s="131" t="s">
        <v>215</v>
      </c>
      <c r="G24" s="6"/>
      <c r="H24" s="6"/>
      <c r="I24" s="6"/>
    </row>
    <row r="25" ht="21.75" customHeight="1">
      <c r="A25" s="6"/>
      <c r="B25" s="177" t="s">
        <v>216</v>
      </c>
      <c r="C25" s="131" t="s">
        <v>212</v>
      </c>
      <c r="D25" s="131" t="s">
        <v>217</v>
      </c>
      <c r="E25" s="131" t="s">
        <v>218</v>
      </c>
      <c r="F25" s="131" t="s">
        <v>219</v>
      </c>
      <c r="G25" s="6"/>
      <c r="H25" s="6"/>
      <c r="I25" s="6"/>
    </row>
    <row r="26" ht="21.75" customHeight="1">
      <c r="A26" s="6"/>
      <c r="B26" s="178" t="s">
        <v>220</v>
      </c>
      <c r="C26" s="137" t="s">
        <v>221</v>
      </c>
      <c r="D26" s="137" t="s">
        <v>222</v>
      </c>
      <c r="E26" s="137" t="s">
        <v>223</v>
      </c>
      <c r="F26" s="137" t="s">
        <v>224</v>
      </c>
      <c r="G26" s="6"/>
      <c r="H26" s="6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0" customHeight="1">
      <c r="A28" s="6"/>
      <c r="B28" s="96" t="s">
        <v>225</v>
      </c>
      <c r="C28" s="75"/>
      <c r="D28" s="75"/>
      <c r="E28" s="75"/>
      <c r="F28" s="75"/>
      <c r="G28" s="75"/>
      <c r="H28" s="50"/>
      <c r="I28" s="6"/>
    </row>
    <row r="29" ht="15.0" customHeight="1">
      <c r="A29" s="6"/>
      <c r="B29" s="54" t="s">
        <v>226</v>
      </c>
      <c r="C29" s="54" t="s">
        <v>227</v>
      </c>
      <c r="D29" s="54" t="s">
        <v>228</v>
      </c>
      <c r="E29" s="54" t="s">
        <v>229</v>
      </c>
      <c r="F29" s="179" t="s">
        <v>230</v>
      </c>
      <c r="G29" s="2"/>
      <c r="H29" s="3"/>
      <c r="I29" s="6"/>
    </row>
    <row r="30" ht="21.75" customHeight="1">
      <c r="A30" s="6"/>
      <c r="B30" s="180" t="s">
        <v>231</v>
      </c>
      <c r="C30" s="134" t="s">
        <v>232</v>
      </c>
      <c r="D30" s="134" t="s">
        <v>233</v>
      </c>
      <c r="E30" s="134" t="s">
        <v>213</v>
      </c>
      <c r="F30" s="6"/>
      <c r="G30" s="6"/>
      <c r="H30" s="6"/>
      <c r="I30" s="6"/>
    </row>
    <row r="31" ht="21.75" customHeight="1">
      <c r="A31" s="6"/>
      <c r="B31" s="181" t="s">
        <v>234</v>
      </c>
      <c r="C31" s="182" t="s">
        <v>235</v>
      </c>
      <c r="D31" s="182" t="s">
        <v>236</v>
      </c>
      <c r="E31" s="182" t="s">
        <v>237</v>
      </c>
      <c r="F31" s="6"/>
      <c r="G31" s="6"/>
      <c r="H31" s="6"/>
      <c r="I31" s="6"/>
    </row>
    <row r="32" ht="21.75" customHeight="1">
      <c r="A32" s="6"/>
      <c r="B32" s="177" t="s">
        <v>238</v>
      </c>
      <c r="C32" s="131" t="s">
        <v>239</v>
      </c>
      <c r="D32" s="131" t="s">
        <v>240</v>
      </c>
      <c r="E32" s="131" t="s">
        <v>241</v>
      </c>
      <c r="F32" s="6"/>
      <c r="G32" s="6"/>
      <c r="H32" s="6"/>
      <c r="I32" s="6"/>
    </row>
    <row r="33" ht="21.75" customHeight="1">
      <c r="A33" s="6"/>
      <c r="B33" s="178" t="s">
        <v>242</v>
      </c>
      <c r="C33" s="137" t="s">
        <v>243</v>
      </c>
      <c r="D33" s="137" t="s">
        <v>244</v>
      </c>
      <c r="E33" s="137" t="s">
        <v>245</v>
      </c>
      <c r="F33" s="6"/>
      <c r="G33" s="6"/>
      <c r="H33" s="6"/>
      <c r="I33" s="6"/>
    </row>
    <row r="34" ht="21.75" customHeight="1">
      <c r="A34" s="6"/>
      <c r="B34" s="183" t="s">
        <v>246</v>
      </c>
      <c r="C34" s="140" t="s">
        <v>243</v>
      </c>
      <c r="D34" s="140" t="s">
        <v>247</v>
      </c>
      <c r="E34" s="140" t="s">
        <v>248</v>
      </c>
      <c r="F34" s="6"/>
      <c r="G34" s="6"/>
      <c r="H34" s="6"/>
      <c r="I34" s="6"/>
    </row>
    <row r="35" ht="21.75" customHeight="1">
      <c r="A35" s="6"/>
      <c r="B35" s="176" t="s">
        <v>249</v>
      </c>
      <c r="C35" s="128" t="s">
        <v>243</v>
      </c>
      <c r="D35" s="128" t="s">
        <v>250</v>
      </c>
      <c r="E35" s="128" t="s">
        <v>251</v>
      </c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6">
    <mergeCell ref="A1:I1"/>
    <mergeCell ref="A2:I2"/>
    <mergeCell ref="B4:H4"/>
    <mergeCell ref="B18:H18"/>
    <mergeCell ref="B28:H28"/>
    <mergeCell ref="F29:H29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5.0"/>
    <col customWidth="1" min="3" max="7" width="22.0"/>
    <col customWidth="1" min="8" max="8" width="3.0"/>
    <col customWidth="1" min="9" max="26" width="8.71"/>
  </cols>
  <sheetData>
    <row r="1" ht="54.75" customHeight="1">
      <c r="A1" s="47" t="s">
        <v>252</v>
      </c>
      <c r="B1" s="2"/>
      <c r="C1" s="2"/>
      <c r="D1" s="2"/>
      <c r="E1" s="2"/>
      <c r="F1" s="2"/>
      <c r="G1" s="2"/>
      <c r="H1" s="3"/>
    </row>
    <row r="2" ht="21.75" customHeight="1">
      <c r="A2" s="184" t="s">
        <v>253</v>
      </c>
      <c r="B2" s="2"/>
      <c r="C2" s="2"/>
      <c r="D2" s="2"/>
      <c r="E2" s="2"/>
      <c r="F2" s="2"/>
      <c r="G2" s="2"/>
      <c r="H2" s="3"/>
    </row>
    <row r="3">
      <c r="A3" s="6"/>
      <c r="B3" s="6"/>
      <c r="C3" s="6"/>
      <c r="D3" s="6"/>
      <c r="E3" s="6"/>
      <c r="F3" s="6"/>
      <c r="G3" s="6"/>
      <c r="H3" s="6"/>
    </row>
    <row r="4" ht="25.5" customHeight="1">
      <c r="A4" s="6"/>
      <c r="B4" s="105" t="s">
        <v>254</v>
      </c>
      <c r="C4" s="75"/>
      <c r="D4" s="75"/>
      <c r="E4" s="75"/>
      <c r="F4" s="75"/>
      <c r="G4" s="50"/>
      <c r="H4" s="6"/>
    </row>
    <row r="5" ht="15.0" customHeight="1">
      <c r="A5" s="6"/>
      <c r="B5" s="76" t="s">
        <v>255</v>
      </c>
      <c r="C5" s="76" t="s">
        <v>256</v>
      </c>
      <c r="D5" s="76" t="s">
        <v>257</v>
      </c>
      <c r="E5" s="76" t="s">
        <v>258</v>
      </c>
      <c r="F5" s="76" t="s">
        <v>259</v>
      </c>
      <c r="G5" s="76" t="s">
        <v>260</v>
      </c>
      <c r="H5" s="6"/>
    </row>
    <row r="6" ht="24.0" customHeight="1">
      <c r="A6" s="6"/>
      <c r="B6" s="185" t="s">
        <v>261</v>
      </c>
      <c r="C6" s="185" t="s">
        <v>262</v>
      </c>
      <c r="D6" s="185" t="s">
        <v>263</v>
      </c>
      <c r="E6" s="185" t="s">
        <v>264</v>
      </c>
      <c r="F6" s="185" t="s">
        <v>265</v>
      </c>
      <c r="G6" s="185" t="s">
        <v>266</v>
      </c>
      <c r="H6" s="6"/>
    </row>
    <row r="7" ht="24.0" customHeight="1">
      <c r="A7" s="6"/>
      <c r="B7" s="185" t="s">
        <v>267</v>
      </c>
      <c r="C7" s="185" t="s">
        <v>268</v>
      </c>
      <c r="D7" s="185" t="s">
        <v>269</v>
      </c>
      <c r="E7" s="185" t="s">
        <v>270</v>
      </c>
      <c r="F7" s="185" t="s">
        <v>265</v>
      </c>
      <c r="G7" s="185" t="s">
        <v>271</v>
      </c>
      <c r="H7" s="6"/>
    </row>
    <row r="8" ht="24.0" customHeight="1">
      <c r="A8" s="6"/>
      <c r="B8" s="185" t="s">
        <v>272</v>
      </c>
      <c r="C8" s="185" t="s">
        <v>273</v>
      </c>
      <c r="D8" s="185" t="s">
        <v>274</v>
      </c>
      <c r="E8" s="185" t="s">
        <v>84</v>
      </c>
      <c r="F8" s="185" t="s">
        <v>265</v>
      </c>
      <c r="G8" s="185" t="s">
        <v>266</v>
      </c>
      <c r="H8" s="6"/>
    </row>
    <row r="9" ht="24.0" customHeight="1">
      <c r="A9" s="6"/>
      <c r="B9" s="185" t="s">
        <v>275</v>
      </c>
      <c r="C9" s="185" t="s">
        <v>276</v>
      </c>
      <c r="D9" s="185" t="s">
        <v>277</v>
      </c>
      <c r="E9" s="185" t="s">
        <v>278</v>
      </c>
      <c r="F9" s="185" t="s">
        <v>265</v>
      </c>
      <c r="G9" s="185" t="s">
        <v>279</v>
      </c>
      <c r="H9" s="6"/>
    </row>
    <row r="10" ht="24.0" customHeight="1">
      <c r="A10" s="6"/>
      <c r="B10" s="186" t="s">
        <v>280</v>
      </c>
      <c r="C10" s="186" t="s">
        <v>280</v>
      </c>
      <c r="D10" s="186" t="s">
        <v>280</v>
      </c>
      <c r="E10" s="186" t="s">
        <v>280</v>
      </c>
      <c r="F10" s="186" t="s">
        <v>280</v>
      </c>
      <c r="G10" s="186" t="s">
        <v>280</v>
      </c>
      <c r="H10" s="6"/>
    </row>
    <row r="11" ht="24.0" customHeight="1">
      <c r="A11" s="6"/>
      <c r="B11" s="186" t="s">
        <v>280</v>
      </c>
      <c r="C11" s="186" t="s">
        <v>280</v>
      </c>
      <c r="D11" s="186" t="s">
        <v>280</v>
      </c>
      <c r="E11" s="186" t="s">
        <v>280</v>
      </c>
      <c r="F11" s="186" t="s">
        <v>280</v>
      </c>
      <c r="G11" s="186" t="s">
        <v>280</v>
      </c>
      <c r="H11" s="6"/>
    </row>
    <row r="12">
      <c r="A12" s="6"/>
      <c r="B12" s="6"/>
      <c r="C12" s="6"/>
      <c r="D12" s="6"/>
      <c r="E12" s="6"/>
      <c r="F12" s="6"/>
      <c r="G12" s="6"/>
      <c r="H12" s="6"/>
    </row>
    <row r="13" ht="15.0" customHeight="1">
      <c r="A13" s="6"/>
      <c r="B13" s="51" t="s">
        <v>281</v>
      </c>
      <c r="C13" s="75"/>
      <c r="D13" s="75"/>
      <c r="E13" s="75"/>
      <c r="F13" s="75"/>
      <c r="G13" s="50"/>
      <c r="H13" s="6"/>
    </row>
    <row r="14" ht="15.0" customHeight="1">
      <c r="A14" s="6"/>
      <c r="B14" s="76" t="s">
        <v>282</v>
      </c>
      <c r="C14" s="76" t="s">
        <v>283</v>
      </c>
      <c r="D14" s="76" t="s">
        <v>284</v>
      </c>
      <c r="E14" s="76" t="s">
        <v>285</v>
      </c>
      <c r="F14" s="76" t="s">
        <v>286</v>
      </c>
      <c r="G14" s="76" t="s">
        <v>287</v>
      </c>
      <c r="H14" s="6"/>
    </row>
    <row r="15" ht="24.0" customHeight="1">
      <c r="A15" s="6"/>
      <c r="B15" s="185" t="s">
        <v>288</v>
      </c>
      <c r="C15" s="185" t="s">
        <v>289</v>
      </c>
      <c r="D15" s="185" t="s">
        <v>290</v>
      </c>
      <c r="E15" s="187">
        <v>1.5E7</v>
      </c>
      <c r="F15" s="187">
        <v>18000.0</v>
      </c>
      <c r="G15" s="185" t="s">
        <v>291</v>
      </c>
      <c r="H15" s="6"/>
    </row>
    <row r="16" ht="24.0" customHeight="1">
      <c r="A16" s="6"/>
      <c r="B16" s="185" t="s">
        <v>210</v>
      </c>
      <c r="C16" s="185" t="s">
        <v>292</v>
      </c>
      <c r="D16" s="185" t="s">
        <v>293</v>
      </c>
      <c r="E16" s="187">
        <v>1000000.0</v>
      </c>
      <c r="F16" s="187">
        <v>25000.0</v>
      </c>
      <c r="G16" s="185" t="s">
        <v>294</v>
      </c>
      <c r="H16" s="6"/>
    </row>
    <row r="17" ht="24.0" customHeight="1">
      <c r="A17" s="6"/>
      <c r="B17" s="185" t="s">
        <v>295</v>
      </c>
      <c r="C17" s="185" t="s">
        <v>296</v>
      </c>
      <c r="D17" s="185" t="s">
        <v>297</v>
      </c>
      <c r="E17" s="187">
        <v>2500000.0</v>
      </c>
      <c r="F17" s="187">
        <v>12000.0</v>
      </c>
      <c r="G17" s="185" t="s">
        <v>298</v>
      </c>
      <c r="H17" s="6"/>
    </row>
    <row r="18" ht="24.0" customHeight="1">
      <c r="A18" s="6"/>
      <c r="B18" s="185" t="s">
        <v>299</v>
      </c>
      <c r="C18" s="185" t="s">
        <v>300</v>
      </c>
      <c r="D18" s="185" t="s">
        <v>301</v>
      </c>
      <c r="E18" s="187">
        <v>5000000.0</v>
      </c>
      <c r="F18" s="187">
        <v>8000.0</v>
      </c>
      <c r="G18" s="185" t="s">
        <v>294</v>
      </c>
      <c r="H18" s="6"/>
    </row>
    <row r="19" ht="24.0" customHeight="1">
      <c r="A19" s="6"/>
      <c r="B19" s="185" t="s">
        <v>302</v>
      </c>
      <c r="C19" s="185" t="s">
        <v>303</v>
      </c>
      <c r="D19" s="185" t="s">
        <v>304</v>
      </c>
      <c r="E19" s="187">
        <v>500000.0</v>
      </c>
      <c r="F19" s="187">
        <v>12000.0</v>
      </c>
      <c r="G19" s="185" t="s">
        <v>294</v>
      </c>
      <c r="H19" s="6"/>
    </row>
    <row r="20" ht="24.0" customHeight="1">
      <c r="A20" s="6"/>
      <c r="B20" s="185" t="s">
        <v>305</v>
      </c>
      <c r="C20" s="185" t="s">
        <v>306</v>
      </c>
      <c r="D20" s="185" t="s">
        <v>307</v>
      </c>
      <c r="E20" s="187">
        <v>2500000.0</v>
      </c>
      <c r="F20" s="187">
        <v>3000.0</v>
      </c>
      <c r="G20" s="185" t="s">
        <v>294</v>
      </c>
      <c r="H20" s="6"/>
    </row>
    <row r="21" ht="25.5" customHeight="1">
      <c r="A21" s="6"/>
      <c r="B21" s="188" t="s">
        <v>308</v>
      </c>
      <c r="C21" s="2"/>
      <c r="D21" s="3"/>
      <c r="E21" s="189">
        <f>SUM(E15:E20)</f>
        <v>26500000</v>
      </c>
      <c r="F21" s="109"/>
      <c r="G21" s="190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0" customHeight="1">
      <c r="A23" s="6"/>
      <c r="B23" s="112" t="s">
        <v>309</v>
      </c>
      <c r="C23" s="75"/>
      <c r="D23" s="75"/>
      <c r="E23" s="75"/>
      <c r="F23" s="75"/>
      <c r="G23" s="50"/>
      <c r="H23" s="6"/>
    </row>
    <row r="24" ht="15.0" customHeight="1">
      <c r="A24" s="6"/>
      <c r="B24" s="76" t="s">
        <v>310</v>
      </c>
      <c r="C24" s="76" t="s">
        <v>311</v>
      </c>
      <c r="D24" s="76" t="s">
        <v>312</v>
      </c>
      <c r="E24" s="76" t="s">
        <v>313</v>
      </c>
      <c r="F24" s="76" t="s">
        <v>314</v>
      </c>
      <c r="G24" s="76" t="s">
        <v>315</v>
      </c>
      <c r="H24" s="6"/>
    </row>
    <row r="25" ht="24.0" customHeight="1">
      <c r="A25" s="6"/>
      <c r="B25" s="185" t="s">
        <v>316</v>
      </c>
      <c r="C25" s="185" t="s">
        <v>317</v>
      </c>
      <c r="D25" s="185" t="s">
        <v>318</v>
      </c>
      <c r="E25" s="187">
        <v>800000.0</v>
      </c>
      <c r="F25" s="185" t="s">
        <v>267</v>
      </c>
      <c r="G25" s="185" t="s">
        <v>319</v>
      </c>
      <c r="H25" s="6"/>
    </row>
    <row r="26" ht="24.0" customHeight="1">
      <c r="A26" s="6"/>
      <c r="B26" s="185" t="s">
        <v>320</v>
      </c>
      <c r="C26" s="185" t="s">
        <v>321</v>
      </c>
      <c r="D26" s="185" t="s">
        <v>322</v>
      </c>
      <c r="E26" s="187">
        <v>450000.0</v>
      </c>
      <c r="F26" s="185" t="s">
        <v>267</v>
      </c>
      <c r="G26" s="185" t="s">
        <v>323</v>
      </c>
      <c r="H26" s="6"/>
    </row>
    <row r="27" ht="24.0" customHeight="1">
      <c r="A27" s="6"/>
      <c r="B27" s="185" t="s">
        <v>324</v>
      </c>
      <c r="C27" s="185" t="s">
        <v>325</v>
      </c>
      <c r="D27" s="185" t="s">
        <v>326</v>
      </c>
      <c r="E27" s="187">
        <v>350000.0</v>
      </c>
      <c r="F27" s="185" t="s">
        <v>267</v>
      </c>
      <c r="G27" s="185" t="s">
        <v>327</v>
      </c>
      <c r="H27" s="6"/>
    </row>
    <row r="28" ht="24.0" customHeight="1">
      <c r="A28" s="6"/>
      <c r="B28" s="185" t="s">
        <v>328</v>
      </c>
      <c r="C28" s="185" t="s">
        <v>329</v>
      </c>
      <c r="D28" s="185" t="s">
        <v>330</v>
      </c>
      <c r="E28" s="187">
        <v>200000.0</v>
      </c>
      <c r="F28" s="185" t="s">
        <v>267</v>
      </c>
      <c r="G28" s="185" t="s">
        <v>331</v>
      </c>
      <c r="H28" s="6"/>
    </row>
    <row r="29" ht="24.0" customHeight="1">
      <c r="A29" s="6"/>
      <c r="B29" s="185" t="s">
        <v>332</v>
      </c>
      <c r="C29" s="185" t="s">
        <v>333</v>
      </c>
      <c r="D29" s="185" t="s">
        <v>334</v>
      </c>
      <c r="E29" s="187">
        <v>600000.0</v>
      </c>
      <c r="F29" s="185" t="s">
        <v>267</v>
      </c>
      <c r="G29" s="185" t="s">
        <v>335</v>
      </c>
      <c r="H29" s="6"/>
    </row>
    <row r="30" ht="24.0" customHeight="1">
      <c r="A30" s="6"/>
      <c r="B30" s="185" t="s">
        <v>336</v>
      </c>
      <c r="C30" s="185" t="s">
        <v>337</v>
      </c>
      <c r="D30" s="185" t="s">
        <v>338</v>
      </c>
      <c r="E30" s="187">
        <v>250000.0</v>
      </c>
      <c r="F30" s="185" t="s">
        <v>267</v>
      </c>
      <c r="G30" s="185" t="s">
        <v>339</v>
      </c>
      <c r="H30" s="6"/>
    </row>
    <row r="31" ht="24.0" customHeight="1">
      <c r="A31" s="6"/>
      <c r="B31" s="185" t="s">
        <v>340</v>
      </c>
      <c r="C31" s="185" t="s">
        <v>341</v>
      </c>
      <c r="D31" s="185" t="s">
        <v>342</v>
      </c>
      <c r="E31" s="187">
        <v>300000.0</v>
      </c>
      <c r="F31" s="185" t="s">
        <v>267</v>
      </c>
      <c r="G31" s="185" t="s">
        <v>343</v>
      </c>
      <c r="H31" s="6"/>
    </row>
    <row r="32" ht="24.0" customHeight="1">
      <c r="A32" s="6"/>
      <c r="B32" s="185" t="s">
        <v>344</v>
      </c>
      <c r="C32" s="185" t="s">
        <v>345</v>
      </c>
      <c r="D32" s="185" t="s">
        <v>346</v>
      </c>
      <c r="E32" s="187">
        <v>150000.0</v>
      </c>
      <c r="F32" s="185" t="s">
        <v>267</v>
      </c>
      <c r="G32" s="185" t="s">
        <v>347</v>
      </c>
      <c r="H32" s="6"/>
    </row>
    <row r="33" ht="24.0" customHeight="1">
      <c r="A33" s="6"/>
      <c r="B33" s="185" t="s">
        <v>238</v>
      </c>
      <c r="C33" s="185" t="s">
        <v>348</v>
      </c>
      <c r="D33" s="185" t="s">
        <v>349</v>
      </c>
      <c r="E33" s="187">
        <v>8500000.0</v>
      </c>
      <c r="F33" s="185" t="s">
        <v>267</v>
      </c>
      <c r="G33" s="185" t="s">
        <v>350</v>
      </c>
      <c r="H33" s="6"/>
    </row>
    <row r="34" ht="25.5" customHeight="1">
      <c r="A34" s="6"/>
      <c r="B34" s="40" t="s">
        <v>351</v>
      </c>
      <c r="C34" s="2"/>
      <c r="D34" s="3"/>
      <c r="E34" s="191">
        <f>SUM(E25:E33)</f>
        <v>11600000</v>
      </c>
      <c r="F34" s="109"/>
      <c r="G34" s="190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0" customHeight="1">
      <c r="A36" s="6"/>
      <c r="B36" s="96" t="s">
        <v>352</v>
      </c>
      <c r="C36" s="75"/>
      <c r="D36" s="75"/>
      <c r="E36" s="75"/>
      <c r="F36" s="75"/>
      <c r="G36" s="50"/>
      <c r="H36" s="6"/>
    </row>
    <row r="37" ht="15.0" customHeight="1">
      <c r="A37" s="6"/>
      <c r="B37" s="76" t="s">
        <v>353</v>
      </c>
      <c r="C37" s="76" t="s">
        <v>354</v>
      </c>
      <c r="D37" s="76" t="s">
        <v>355</v>
      </c>
      <c r="E37" s="76" t="s">
        <v>356</v>
      </c>
      <c r="F37" s="192" t="s">
        <v>180</v>
      </c>
      <c r="G37" s="68"/>
      <c r="H37" s="6"/>
    </row>
    <row r="38" ht="21.75" customHeight="1">
      <c r="A38" s="6"/>
      <c r="B38" s="185" t="s">
        <v>357</v>
      </c>
      <c r="C38" s="185" t="s">
        <v>358</v>
      </c>
      <c r="D38" s="185" t="s">
        <v>359</v>
      </c>
      <c r="E38" s="185" t="s">
        <v>360</v>
      </c>
      <c r="F38" s="193" t="s">
        <v>361</v>
      </c>
      <c r="G38" s="194"/>
      <c r="H38" s="6"/>
    </row>
    <row r="39" ht="21.75" customHeight="1">
      <c r="A39" s="6"/>
      <c r="B39" s="185" t="s">
        <v>362</v>
      </c>
      <c r="C39" s="185" t="s">
        <v>363</v>
      </c>
      <c r="D39" s="185" t="s">
        <v>364</v>
      </c>
      <c r="E39" s="185" t="s">
        <v>365</v>
      </c>
      <c r="F39" s="193" t="s">
        <v>361</v>
      </c>
      <c r="G39" s="194"/>
      <c r="H39" s="6"/>
    </row>
    <row r="40" ht="21.75" customHeight="1">
      <c r="A40" s="6"/>
      <c r="B40" s="185" t="s">
        <v>366</v>
      </c>
      <c r="C40" s="185" t="s">
        <v>367</v>
      </c>
      <c r="D40" s="185" t="s">
        <v>368</v>
      </c>
      <c r="E40" s="185" t="s">
        <v>369</v>
      </c>
      <c r="F40" s="193" t="s">
        <v>361</v>
      </c>
      <c r="G40" s="194"/>
      <c r="H40" s="6"/>
    </row>
    <row r="41" ht="21.75" customHeight="1">
      <c r="A41" s="6"/>
      <c r="B41" s="185" t="s">
        <v>370</v>
      </c>
      <c r="C41" s="185" t="s">
        <v>367</v>
      </c>
      <c r="D41" s="185" t="s">
        <v>364</v>
      </c>
      <c r="E41" s="185" t="s">
        <v>369</v>
      </c>
      <c r="F41" s="193" t="s">
        <v>361</v>
      </c>
      <c r="G41" s="194"/>
      <c r="H41" s="6"/>
    </row>
    <row r="42" ht="21.75" customHeight="1">
      <c r="A42" s="6"/>
      <c r="B42" s="185" t="s">
        <v>371</v>
      </c>
      <c r="C42" s="185" t="s">
        <v>367</v>
      </c>
      <c r="D42" s="185" t="s">
        <v>372</v>
      </c>
      <c r="E42" s="185" t="s">
        <v>373</v>
      </c>
      <c r="F42" s="193" t="s">
        <v>361</v>
      </c>
      <c r="G42" s="194"/>
      <c r="H42" s="6"/>
    </row>
    <row r="43" ht="21.75" customHeight="1">
      <c r="A43" s="6"/>
      <c r="B43" s="185" t="s">
        <v>374</v>
      </c>
      <c r="C43" s="185" t="s">
        <v>367</v>
      </c>
      <c r="D43" s="185" t="s">
        <v>375</v>
      </c>
      <c r="E43" s="185" t="s">
        <v>376</v>
      </c>
      <c r="F43" s="193" t="s">
        <v>361</v>
      </c>
      <c r="G43" s="194"/>
      <c r="H43" s="6"/>
    </row>
    <row r="44" ht="21.75" customHeight="1">
      <c r="A44" s="6"/>
      <c r="B44" s="185" t="s">
        <v>377</v>
      </c>
      <c r="C44" s="185" t="s">
        <v>367</v>
      </c>
      <c r="D44" s="185" t="s">
        <v>378</v>
      </c>
      <c r="E44" s="185" t="s">
        <v>376</v>
      </c>
      <c r="F44" s="193" t="s">
        <v>361</v>
      </c>
      <c r="G44" s="194"/>
      <c r="H44" s="6"/>
    </row>
    <row r="45" ht="21.75" customHeight="1">
      <c r="A45" s="6"/>
      <c r="B45" s="185" t="s">
        <v>379</v>
      </c>
      <c r="C45" s="185" t="s">
        <v>367</v>
      </c>
      <c r="D45" s="185" t="s">
        <v>380</v>
      </c>
      <c r="E45" s="185" t="s">
        <v>381</v>
      </c>
      <c r="F45" s="193" t="s">
        <v>361</v>
      </c>
      <c r="G45" s="194"/>
      <c r="H45" s="6"/>
    </row>
    <row r="46" ht="21.75" customHeight="1">
      <c r="A46" s="6"/>
      <c r="B46" s="185" t="s">
        <v>382</v>
      </c>
      <c r="C46" s="185" t="s">
        <v>383</v>
      </c>
      <c r="D46" s="185" t="s">
        <v>384</v>
      </c>
      <c r="E46" s="185" t="s">
        <v>369</v>
      </c>
      <c r="F46" s="193" t="s">
        <v>361</v>
      </c>
      <c r="G46" s="194"/>
      <c r="H46" s="6"/>
    </row>
    <row r="47" ht="21.75" customHeight="1">
      <c r="A47" s="6"/>
      <c r="B47" s="185" t="s">
        <v>385</v>
      </c>
      <c r="C47" s="185" t="s">
        <v>386</v>
      </c>
      <c r="D47" s="185" t="s">
        <v>384</v>
      </c>
      <c r="E47" s="185" t="s">
        <v>387</v>
      </c>
      <c r="F47" s="193" t="s">
        <v>361</v>
      </c>
      <c r="G47" s="194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0" customHeight="1">
      <c r="A49" s="6"/>
      <c r="B49" s="73" t="s">
        <v>388</v>
      </c>
      <c r="C49" s="75"/>
      <c r="D49" s="75"/>
      <c r="E49" s="75"/>
      <c r="F49" s="75"/>
      <c r="G49" s="50"/>
      <c r="H49" s="6"/>
    </row>
    <row r="50" ht="15.0" customHeight="1">
      <c r="A50" s="6"/>
      <c r="B50" s="76" t="s">
        <v>255</v>
      </c>
      <c r="C50" s="76" t="s">
        <v>256</v>
      </c>
      <c r="D50" s="76" t="s">
        <v>389</v>
      </c>
      <c r="E50" s="76" t="s">
        <v>390</v>
      </c>
      <c r="F50" s="192" t="s">
        <v>391</v>
      </c>
      <c r="G50" s="68"/>
      <c r="H50" s="6"/>
    </row>
    <row r="51" ht="24.0" customHeight="1">
      <c r="A51" s="6"/>
      <c r="B51" s="185" t="s">
        <v>267</v>
      </c>
      <c r="C51" s="185" t="s">
        <v>268</v>
      </c>
      <c r="D51" s="185" t="s">
        <v>392</v>
      </c>
      <c r="E51" s="185" t="s">
        <v>393</v>
      </c>
      <c r="F51" s="195" t="s">
        <v>394</v>
      </c>
      <c r="G51" s="194"/>
      <c r="H51" s="6"/>
    </row>
    <row r="52" ht="24.0" customHeight="1">
      <c r="A52" s="6"/>
      <c r="B52" s="185" t="s">
        <v>395</v>
      </c>
      <c r="C52" s="185" t="s">
        <v>396</v>
      </c>
      <c r="D52" s="185" t="s">
        <v>397</v>
      </c>
      <c r="E52" s="185" t="s">
        <v>398</v>
      </c>
      <c r="F52" s="195" t="s">
        <v>399</v>
      </c>
      <c r="G52" s="194"/>
      <c r="H52" s="6"/>
    </row>
    <row r="53" ht="24.0" customHeight="1">
      <c r="A53" s="6"/>
      <c r="B53" s="185" t="s">
        <v>400</v>
      </c>
      <c r="C53" s="185" t="s">
        <v>401</v>
      </c>
      <c r="D53" s="185" t="s">
        <v>402</v>
      </c>
      <c r="E53" s="185" t="s">
        <v>403</v>
      </c>
      <c r="F53" s="195" t="s">
        <v>404</v>
      </c>
      <c r="G53" s="194"/>
      <c r="H53" s="6"/>
    </row>
    <row r="54" ht="24.0" customHeight="1">
      <c r="A54" s="6"/>
      <c r="B54" s="185" t="s">
        <v>405</v>
      </c>
      <c r="C54" s="185" t="s">
        <v>406</v>
      </c>
      <c r="D54" s="185" t="s">
        <v>407</v>
      </c>
      <c r="E54" s="185" t="s">
        <v>408</v>
      </c>
      <c r="F54" s="195" t="s">
        <v>409</v>
      </c>
      <c r="G54" s="194"/>
      <c r="H54" s="6"/>
    </row>
    <row r="55" ht="24.0" customHeight="1">
      <c r="A55" s="6"/>
      <c r="B55" s="185" t="s">
        <v>410</v>
      </c>
      <c r="C55" s="185" t="s">
        <v>411</v>
      </c>
      <c r="D55" s="185" t="s">
        <v>412</v>
      </c>
      <c r="E55" s="185" t="s">
        <v>413</v>
      </c>
      <c r="F55" s="195" t="s">
        <v>414</v>
      </c>
      <c r="G55" s="194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0" customHeight="1">
      <c r="A57" s="6"/>
      <c r="B57" s="51" t="s">
        <v>415</v>
      </c>
      <c r="C57" s="75"/>
      <c r="D57" s="75"/>
      <c r="E57" s="75"/>
      <c r="F57" s="75"/>
      <c r="G57" s="50"/>
      <c r="H57" s="6"/>
    </row>
    <row r="58" ht="15.0" customHeight="1">
      <c r="A58" s="6"/>
      <c r="B58" s="76" t="s">
        <v>416</v>
      </c>
      <c r="C58" s="76" t="s">
        <v>417</v>
      </c>
      <c r="D58" s="76" t="s">
        <v>418</v>
      </c>
      <c r="E58" s="76" t="s">
        <v>419</v>
      </c>
      <c r="F58" s="76" t="s">
        <v>420</v>
      </c>
      <c r="G58" s="76" t="s">
        <v>180</v>
      </c>
      <c r="H58" s="6"/>
    </row>
    <row r="59" ht="21.75" customHeight="1">
      <c r="A59" s="6"/>
      <c r="B59" s="185" t="s">
        <v>343</v>
      </c>
      <c r="C59" s="185" t="s">
        <v>421</v>
      </c>
      <c r="D59" s="185" t="s">
        <v>422</v>
      </c>
      <c r="E59" s="185" t="s">
        <v>423</v>
      </c>
      <c r="F59" s="185" t="s">
        <v>267</v>
      </c>
      <c r="G59" s="196" t="s">
        <v>424</v>
      </c>
      <c r="H59" s="6"/>
    </row>
    <row r="60" ht="21.75" customHeight="1">
      <c r="A60" s="6"/>
      <c r="B60" s="185" t="s">
        <v>323</v>
      </c>
      <c r="C60" s="185" t="s">
        <v>425</v>
      </c>
      <c r="D60" s="185" t="s">
        <v>426</v>
      </c>
      <c r="E60" s="185" t="s">
        <v>427</v>
      </c>
      <c r="F60" s="185" t="s">
        <v>267</v>
      </c>
      <c r="G60" s="196" t="s">
        <v>424</v>
      </c>
      <c r="H60" s="6"/>
    </row>
    <row r="61" ht="21.75" customHeight="1">
      <c r="A61" s="6"/>
      <c r="B61" s="185" t="s">
        <v>428</v>
      </c>
      <c r="C61" s="185" t="s">
        <v>421</v>
      </c>
      <c r="D61" s="185" t="s">
        <v>429</v>
      </c>
      <c r="E61" s="185" t="s">
        <v>430</v>
      </c>
      <c r="F61" s="185" t="s">
        <v>267</v>
      </c>
      <c r="G61" s="196" t="s">
        <v>424</v>
      </c>
      <c r="H61" s="6"/>
    </row>
    <row r="62" ht="21.75" customHeight="1">
      <c r="A62" s="6"/>
      <c r="B62" s="185" t="s">
        <v>431</v>
      </c>
      <c r="C62" s="185" t="s">
        <v>432</v>
      </c>
      <c r="D62" s="185" t="s">
        <v>433</v>
      </c>
      <c r="E62" s="185" t="s">
        <v>434</v>
      </c>
      <c r="F62" s="185" t="s">
        <v>435</v>
      </c>
      <c r="G62" s="196" t="s">
        <v>424</v>
      </c>
      <c r="H62" s="6"/>
    </row>
    <row r="63" ht="21.75" customHeight="1">
      <c r="A63" s="6"/>
      <c r="B63" s="185" t="s">
        <v>436</v>
      </c>
      <c r="C63" s="185" t="s">
        <v>432</v>
      </c>
      <c r="D63" s="185" t="s">
        <v>437</v>
      </c>
      <c r="E63" s="185" t="s">
        <v>438</v>
      </c>
      <c r="F63" s="185" t="s">
        <v>435</v>
      </c>
      <c r="G63" s="196" t="s">
        <v>424</v>
      </c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27.75" customHeight="1">
      <c r="A65" s="6"/>
      <c r="B65" s="197" t="s">
        <v>439</v>
      </c>
      <c r="C65" s="2"/>
      <c r="D65" s="2"/>
      <c r="E65" s="2"/>
      <c r="F65" s="2"/>
      <c r="G65" s="3"/>
      <c r="H65" s="6"/>
    </row>
    <row r="66" ht="21.75" customHeight="1">
      <c r="A66" s="6"/>
      <c r="B66" s="198" t="s">
        <v>440</v>
      </c>
      <c r="C66" s="2"/>
      <c r="D66" s="2"/>
      <c r="E66" s="2"/>
      <c r="F66" s="2"/>
      <c r="G66" s="3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mergeCells count="31">
    <mergeCell ref="A1:H1"/>
    <mergeCell ref="A2:H2"/>
    <mergeCell ref="B4:G4"/>
    <mergeCell ref="B13:G13"/>
    <mergeCell ref="B21:D21"/>
    <mergeCell ref="E21:G21"/>
    <mergeCell ref="B23:G23"/>
    <mergeCell ref="B34:D34"/>
    <mergeCell ref="E34:G34"/>
    <mergeCell ref="B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B57:G57"/>
    <mergeCell ref="B65:G65"/>
    <mergeCell ref="B66:G66"/>
    <mergeCell ref="B49:G49"/>
    <mergeCell ref="F50:G50"/>
    <mergeCell ref="F51:G51"/>
    <mergeCell ref="F52:G52"/>
    <mergeCell ref="F53:G53"/>
    <mergeCell ref="F54:G54"/>
    <mergeCell ref="F55:G5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2026-05-19T10:11:46Z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
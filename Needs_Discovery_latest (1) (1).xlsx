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ds Discovery" sheetId="1" r:id="rId4"/>
    <sheet state="hidden" name="_Lists" sheetId="2" r:id="rId5"/>
    <sheet state="visible" name="Risk Score Calculator" sheetId="3" r:id="rId6"/>
    <sheet state="visible" name="Suitability Check" sheetId="4" r:id="rId7"/>
  </sheets>
  <definedNames/>
  <calcPr/>
  <extLst>
    <ext uri="GoogleSheetsCustomDataVersion2">
      <go:sheetsCustomData xmlns:go="http://customooxmlschemas.google.com/" r:id="rId8" roundtripDataChecksum="W2Ne1s2AbnQIFeDr+G7vNKH4emHHPQ3JNvZXBn0ldWM="/>
    </ext>
  </extLst>
</workbook>
</file>

<file path=xl/sharedStrings.xml><?xml version="1.0" encoding="utf-8"?>
<sst xmlns="http://schemas.openxmlformats.org/spreadsheetml/2006/main" count="477" uniqueCount="372">
  <si>
    <t>CLIENT NEEDS DISCOVERY QUESTIONNAIRE</t>
  </si>
  <si>
    <t>Mutual Funds  |  Equity  |  Insurance  |  PMS  |  AIF  |  SIF</t>
  </si>
  <si>
    <t>Client Name:</t>
  </si>
  <si>
    <t>RM / Advisor Name:</t>
  </si>
  <si>
    <t>Meeting Date:</t>
  </si>
  <si>
    <t>Client ID / Code:</t>
  </si>
  <si>
    <t>Branch / Location:</t>
  </si>
  <si>
    <t>Review Type:</t>
  </si>
  <si>
    <t xml:space="preserve">  A.  CLIENT PROFILE &amp; DEMOGRAPHICS</t>
  </si>
  <si>
    <t>A1</t>
  </si>
  <si>
    <t>What is the client's age?</t>
  </si>
  <si>
    <t>A2</t>
  </si>
  <si>
    <t>Annual Income (approximate)?</t>
  </si>
  <si>
    <t>A3</t>
  </si>
  <si>
    <t>Current Net Worth (approximate)?</t>
  </si>
  <si>
    <t>A4</t>
  </si>
  <si>
    <t>Primary Occupation?</t>
  </si>
  <si>
    <t>A5</t>
  </si>
  <si>
    <t>Highest Educational Qualification?</t>
  </si>
  <si>
    <t>A6</t>
  </si>
  <si>
    <t>Marital Status &amp; Family?</t>
  </si>
  <si>
    <t>A7</t>
  </si>
  <si>
    <t>Income Tax Slab / Bracket?</t>
  </si>
  <si>
    <t xml:space="preserve">  B.  INVESTMENT OBJECTIVES &amp; GOALS</t>
  </si>
  <si>
    <t>B1</t>
  </si>
  <si>
    <t>Primary Financial Goal?</t>
  </si>
  <si>
    <t>B2</t>
  </si>
  <si>
    <t>Investment Time Horizon for Primary Goal?</t>
  </si>
  <si>
    <t>B3</t>
  </si>
  <si>
    <t>Lump Sum Amount Available to Invest?</t>
  </si>
  <si>
    <t>B4</t>
  </si>
  <si>
    <t>SIP / Monthly Investment Amount? (Text if applicable)</t>
  </si>
  <si>
    <t>B5</t>
  </si>
  <si>
    <t>Return Expectation from Investments?</t>
  </si>
  <si>
    <t>B6</t>
  </si>
  <si>
    <t>Do you require Regular Income / Payouts?</t>
  </si>
  <si>
    <t>B7</t>
  </si>
  <si>
    <t>Do you have existing investments? (Describe briefly)</t>
  </si>
  <si>
    <t xml:space="preserve">  C.  RISK PROFILING</t>
  </si>
  <si>
    <t>C1</t>
  </si>
  <si>
    <t>If portfolio fell 20% in 3 months, client would:</t>
  </si>
  <si>
    <t>C2</t>
  </si>
  <si>
    <t>Investment Knowledge Level?</t>
  </si>
  <si>
    <t>C3</t>
  </si>
  <si>
    <t>Prior Capital Market Experience?</t>
  </si>
  <si>
    <t>C4</t>
  </si>
  <si>
    <t>% of Total Savings willing to put at risk?</t>
  </si>
  <si>
    <t>C5</t>
  </si>
  <si>
    <t>Best describes client's attitude towards risk?</t>
  </si>
  <si>
    <t>C6</t>
  </si>
  <si>
    <t>Outstanding Loans or Liabilities?</t>
  </si>
  <si>
    <t>C7</t>
  </si>
  <si>
    <t>Does client have Emergency Fund (6+ months expenses)?</t>
  </si>
  <si>
    <t xml:space="preserve">  D.  TAX PLANNING &amp; REGULATORY</t>
  </si>
  <si>
    <t>D1</t>
  </si>
  <si>
    <t>Is Tax Saving a priority for this investment?</t>
  </si>
  <si>
    <t>D2</t>
  </si>
  <si>
    <t>Aware of LTCG / STCG implications?</t>
  </si>
  <si>
    <t>D3</t>
  </si>
  <si>
    <t>Residency / NRI Status?</t>
  </si>
  <si>
    <t>D4</t>
  </si>
  <si>
    <t>FATCA / CRS Reporting Obligations?</t>
  </si>
  <si>
    <t xml:space="preserve">  E.  PRODUCT PREFERENCE &amp; ELIGIBILITY SCREENING</t>
  </si>
  <si>
    <t>E1</t>
  </si>
  <si>
    <t>Aware of PMS (min ₹50L ticket)?</t>
  </si>
  <si>
    <t>E2</t>
  </si>
  <si>
    <t>Aware of AIF (min ₹1Cr ticket)?</t>
  </si>
  <si>
    <t>E3</t>
  </si>
  <si>
    <t>Aware of SIF (min ₹10L ticket)?</t>
  </si>
  <si>
    <t>E4</t>
  </si>
  <si>
    <t>Life Insurance cover of at least 10x annual income?</t>
  </si>
  <si>
    <t>E5</t>
  </si>
  <si>
    <t>Interested in Insurance-linked investment products (ULIP)?</t>
  </si>
  <si>
    <t>E6</t>
  </si>
  <si>
    <t>Preference: Actively vs Passively managed funds?</t>
  </si>
  <si>
    <t>E7</t>
  </si>
  <si>
    <t>Preference for any specific Fund House / Manager? (Text)</t>
  </si>
  <si>
    <t>E8</t>
  </si>
  <si>
    <t>Open to International / Global diversification?</t>
  </si>
  <si>
    <t>E9</t>
  </si>
  <si>
    <t>Prefer Growth or IDCW option?</t>
  </si>
  <si>
    <t>E10</t>
  </si>
  <si>
    <t>Preferred mode of communication &amp; statements?</t>
  </si>
  <si>
    <t xml:space="preserve">  F.  ADVISOR ASSESSMENT &amp; NEXT STEPS</t>
  </si>
  <si>
    <t>F1</t>
  </si>
  <si>
    <t>Overall Risk Profile assessed by RM:</t>
  </si>
  <si>
    <t>F2</t>
  </si>
  <si>
    <t>Urgency of Investment Decision:</t>
  </si>
  <si>
    <t>F3</t>
  </si>
  <si>
    <t>Key concerns raised by client (notes):</t>
  </si>
  <si>
    <t>F4</t>
  </si>
  <si>
    <t>Products discussed in this meeting (notes):</t>
  </si>
  <si>
    <t>F5</t>
  </si>
  <si>
    <t>Next Step:</t>
  </si>
  <si>
    <t>Client Signature: ___________________________</t>
  </si>
  <si>
    <t>RM / Advisor Signature: ___________________________</t>
  </si>
  <si>
    <t xml:space="preserve">  🟡 Yellow cells = Input / Dropdown Fields    ⚠ For authorised RM / advisor use only. Handle per SEBI / IRDAI data protection norms.</t>
  </si>
  <si>
    <t>Income</t>
  </si>
  <si>
    <t>NetWorth</t>
  </si>
  <si>
    <t>Occupation</t>
  </si>
  <si>
    <t>Education</t>
  </si>
  <si>
    <t>Marital</t>
  </si>
  <si>
    <t>TaxSlab</t>
  </si>
  <si>
    <t>YesNo</t>
  </si>
  <si>
    <t>YesNoMaybe</t>
  </si>
  <si>
    <t>YesNoNotSure</t>
  </si>
  <si>
    <t>YesNoPartial</t>
  </si>
  <si>
    <t>Goals</t>
  </si>
  <si>
    <t>Horizon</t>
  </si>
  <si>
    <t>LumpSum</t>
  </si>
  <si>
    <t>Returns</t>
  </si>
  <si>
    <t>Income2</t>
  </si>
  <si>
    <t>RiskReaction</t>
  </si>
  <si>
    <t>Knowledge</t>
  </si>
  <si>
    <t>Experience</t>
  </si>
  <si>
    <t>PctRisk</t>
  </si>
  <si>
    <t>RiskAttitude</t>
  </si>
  <si>
    <t>LoanStatus</t>
  </si>
  <si>
    <t>Priority</t>
  </si>
  <si>
    <t>TaxUsed</t>
  </si>
  <si>
    <t>TaxAware</t>
  </si>
  <si>
    <t>Residency</t>
  </si>
  <si>
    <t>Awareness</t>
  </si>
  <si>
    <t>FundPref</t>
  </si>
  <si>
    <t>DivPref</t>
  </si>
  <si>
    <t>CommPref</t>
  </si>
  <si>
    <t>RiskProfile</t>
  </si>
  <si>
    <t>ReviewType</t>
  </si>
  <si>
    <t>Urgency</t>
  </si>
  <si>
    <t>NextAction</t>
  </si>
  <si>
    <t>Age_Scores</t>
  </si>
  <si>
    <t>Horizon_Scores</t>
  </si>
  <si>
    <t>Income_Scores</t>
  </si>
  <si>
    <t>NW_Scores</t>
  </si>
  <si>
    <t>React_Scores</t>
  </si>
  <si>
    <t>Know_Scores</t>
  </si>
  <si>
    <t>Exp_Scores</t>
  </si>
  <si>
    <t>PctR_Scores</t>
  </si>
  <si>
    <t>Liq_Scores</t>
  </si>
  <si>
    <t>Loan_Scores</t>
  </si>
  <si>
    <t>Age_Scores_Vals</t>
  </si>
  <si>
    <t>Horizon_Scores_Vals</t>
  </si>
  <si>
    <t>Income_Scores_Vals</t>
  </si>
  <si>
    <t>NW_Scores_Vals</t>
  </si>
  <si>
    <t>React_Scores_Vals</t>
  </si>
  <si>
    <t>Know_Scores_Vals</t>
  </si>
  <si>
    <t>Exp_Scores_Vals</t>
  </si>
  <si>
    <t>PctR_Scores_Vals</t>
  </si>
  <si>
    <t>Liq_Scores_Vals</t>
  </si>
  <si>
    <t>Loan_Scores_Vals</t>
  </si>
  <si>
    <t>Risk Profile:</t>
  </si>
  <si>
    <t>Investment Horizon:</t>
  </si>
  <si>
    <t>Investable Surplus:</t>
  </si>
  <si>
    <t>Liquidity Need:</t>
  </si>
  <si>
    <t>Tax Saving Priority:</t>
  </si>
  <si>
    <t>Investor Category:</t>
  </si>
  <si>
    <t>&lt; ₹5 Lakhs</t>
  </si>
  <si>
    <t>&lt; ₹25 Lakhs</t>
  </si>
  <si>
    <t>Salaried</t>
  </si>
  <si>
    <t>Below Graduate</t>
  </si>
  <si>
    <t>Single</t>
  </si>
  <si>
    <t>Nil / New Regime</t>
  </si>
  <si>
    <t>Yes</t>
  </si>
  <si>
    <t>Wealth Creation</t>
  </si>
  <si>
    <t>&lt; 1 Year</t>
  </si>
  <si>
    <t>&lt; ₹1 Lakh</t>
  </si>
  <si>
    <t>FD-like (6–7%)</t>
  </si>
  <si>
    <t>Yes – Monthly</t>
  </si>
  <si>
    <t>Sell Everything (Score 1)</t>
  </si>
  <si>
    <t>Novice – Never invested</t>
  </si>
  <si>
    <t>Never</t>
  </si>
  <si>
    <t>&lt; 10% of Savings</t>
  </si>
  <si>
    <t>Safety first – minimal risk</t>
  </si>
  <si>
    <t>Yes – Major Liabilities</t>
  </si>
  <si>
    <t>Very High</t>
  </si>
  <si>
    <t>Fully Utilised (₹1.5L)</t>
  </si>
  <si>
    <t>Yes – Fully Aware</t>
  </si>
  <si>
    <t>Resident Indian</t>
  </si>
  <si>
    <t>Actively Managed</t>
  </si>
  <si>
    <t>Growth Option</t>
  </si>
  <si>
    <t>Email</t>
  </si>
  <si>
    <t>Conservative</t>
  </si>
  <si>
    <t>New Client</t>
  </si>
  <si>
    <t>Immediate</t>
  </si>
  <si>
    <t>Send Product Proposal</t>
  </si>
  <si>
    <t>18–25</t>
  </si>
  <si>
    <t>Sell Everything</t>
  </si>
  <si>
    <t>Novice</t>
  </si>
  <si>
    <t>&lt; 10%</t>
  </si>
  <si>
    <t>&lt; 1 Week</t>
  </si>
  <si>
    <t>Major Liabilities</t>
  </si>
  <si>
    <t>High (&lt; 1 Month)</t>
  </si>
  <si>
    <t>Retail (&lt; ₹5Cr NW)</t>
  </si>
  <si>
    <t>₹5–10 Lakhs</t>
  </si>
  <si>
    <t>₹25–50 Lakhs</t>
  </si>
  <si>
    <t>Self-Employed</t>
  </si>
  <si>
    <t>Graduate</t>
  </si>
  <si>
    <t>Married</t>
  </si>
  <si>
    <t>5%</t>
  </si>
  <si>
    <t>No</t>
  </si>
  <si>
    <t>Retirement Planning</t>
  </si>
  <si>
    <t>1–3 Years</t>
  </si>
  <si>
    <t>₹1–5 Lakhs</t>
  </si>
  <si>
    <t>Moderate (10–12%)</t>
  </si>
  <si>
    <t>Yes – Quarterly</t>
  </si>
  <si>
    <t>Sell Some (Score 2)</t>
  </si>
  <si>
    <t>Basic – FD/PPF only</t>
  </si>
  <si>
    <t>Less than 1 Year</t>
  </si>
  <si>
    <t>10–25%</t>
  </si>
  <si>
    <t>Modest growth with low risk</t>
  </si>
  <si>
    <t>Yes – Minor Liabilities</t>
  </si>
  <si>
    <t>High</t>
  </si>
  <si>
    <t>Partially Utilised</t>
  </si>
  <si>
    <t>Aware but Need Clarity</t>
  </si>
  <si>
    <t>NRI</t>
  </si>
  <si>
    <t>Heard of It</t>
  </si>
  <si>
    <t>Passively Managed (Index)</t>
  </si>
  <si>
    <t>IDCW – Monthly</t>
  </si>
  <si>
    <t>WhatsApp</t>
  </si>
  <si>
    <t>Moderately Conservative</t>
  </si>
  <si>
    <t>Annual Review</t>
  </si>
  <si>
    <t>This Month</t>
  </si>
  <si>
    <t>Schedule Follow-up</t>
  </si>
  <si>
    <t>26–35</t>
  </si>
  <si>
    <t>Sell Some</t>
  </si>
  <si>
    <t>Basic</t>
  </si>
  <si>
    <t>1–3 Months</t>
  </si>
  <si>
    <t>Minor Liabilities</t>
  </si>
  <si>
    <t>Mod. Conservative</t>
  </si>
  <si>
    <t>Moderate (1–3 Months)</t>
  </si>
  <si>
    <t>HNI (₹5Cr+ NW)</t>
  </si>
  <si>
    <t>₹10–25 Lakhs</t>
  </si>
  <si>
    <t>₹50L–1 Crore</t>
  </si>
  <si>
    <t>Business Owner</t>
  </si>
  <si>
    <t>Post-Graduate</t>
  </si>
  <si>
    <t>Married with Children</t>
  </si>
  <si>
    <t>10%</t>
  </si>
  <si>
    <t>Maybe</t>
  </si>
  <si>
    <t>Not Sure</t>
  </si>
  <si>
    <t>Partially</t>
  </si>
  <si>
    <t>Child's Education</t>
  </si>
  <si>
    <t>3–5 Years</t>
  </si>
  <si>
    <t>Market-Linked (12–15%)</t>
  </si>
  <si>
    <t>Yes – Annually</t>
  </si>
  <si>
    <t>Hold &amp; Wait (Score 3)</t>
  </si>
  <si>
    <t>Intermediate – MF investor</t>
  </si>
  <si>
    <t>25–50%</t>
  </si>
  <si>
    <t>Balanced risk-return</t>
  </si>
  <si>
    <t>No Loans</t>
  </si>
  <si>
    <t>Moderate</t>
  </si>
  <si>
    <t>Not Utilised at All</t>
  </si>
  <si>
    <t>Not Aware</t>
  </si>
  <si>
    <t>PIO / OCI</t>
  </si>
  <si>
    <t>Both / No Preference</t>
  </si>
  <si>
    <t>IDCW – Quarterly</t>
  </si>
  <si>
    <t>Physical Mail</t>
  </si>
  <si>
    <t>Portfolio Rebalance</t>
  </si>
  <si>
    <t>This Quarter</t>
  </si>
  <si>
    <t>Complete KYC</t>
  </si>
  <si>
    <t>36–45</t>
  </si>
  <si>
    <t>Hold &amp; Wait</t>
  </si>
  <si>
    <t>Intermediate</t>
  </si>
  <si>
    <t>3–12 Months</t>
  </si>
  <si>
    <t>Low (3Y+ OK)</t>
  </si>
  <si>
    <t>Accredited Investor</t>
  </si>
  <si>
    <t>₹1–5 Crores</t>
  </si>
  <si>
    <t>Professional (Doctor/CA/Lawyer)</t>
  </si>
  <si>
    <t>Professional Degree</t>
  </si>
  <si>
    <t>Divorced / Widowed</t>
  </si>
  <si>
    <t>15%</t>
  </si>
  <si>
    <t>Home Purchase</t>
  </si>
  <si>
    <t>5–10 Years</t>
  </si>
  <si>
    <t>Aggressive (&gt;15%)</t>
  </si>
  <si>
    <t>Buy More (Score 4)</t>
  </si>
  <si>
    <t>Advanced – Equity/PMS</t>
  </si>
  <si>
    <t>50–75%</t>
  </si>
  <si>
    <t>Growth with higher risk</t>
  </si>
  <si>
    <t>Low</t>
  </si>
  <si>
    <t>Foreign National</t>
  </si>
  <si>
    <t>IDCW – Annual</t>
  </si>
  <si>
    <t>Mobile App</t>
  </si>
  <si>
    <t>Moderately Aggressive</t>
  </si>
  <si>
    <t>Goal Review</t>
  </si>
  <si>
    <t>No Urgency</t>
  </si>
  <si>
    <t>Risk Profiling Pending</t>
  </si>
  <si>
    <t>46–55</t>
  </si>
  <si>
    <t>Buy More</t>
  </si>
  <si>
    <t>Advanced</t>
  </si>
  <si>
    <t>Mod. Aggressive</t>
  </si>
  <si>
    <t>Very Low (5Y+ OK)</t>
  </si>
  <si>
    <t>Institutional</t>
  </si>
  <si>
    <t>₹5–10 Crores</t>
  </si>
  <si>
    <t>Retired</t>
  </si>
  <si>
    <t>20%</t>
  </si>
  <si>
    <t>Tax Saving</t>
  </si>
  <si>
    <t>&gt; 10 Years</t>
  </si>
  <si>
    <t>Buy Very Aggressively (Score 5)</t>
  </si>
  <si>
    <t>Expert – Derivatives/AIF</t>
  </si>
  <si>
    <t>&gt; 5 Years</t>
  </si>
  <si>
    <t>&gt; 75%</t>
  </si>
  <si>
    <t>Maximum returns at any risk</t>
  </si>
  <si>
    <t>Not a Priority</t>
  </si>
  <si>
    <t>No Preference</t>
  </si>
  <si>
    <t>Aggressive</t>
  </si>
  <si>
    <t>Other</t>
  </si>
  <si>
    <t>Awaiting Client Decision</t>
  </si>
  <si>
    <t>56–65</t>
  </si>
  <si>
    <t>&gt; ₹50 Lakhs</t>
  </si>
  <si>
    <t>&gt; ₹5 Crores</t>
  </si>
  <si>
    <t>Buy Very Aggressively</t>
  </si>
  <si>
    <t>Expert</t>
  </si>
  <si>
    <t>&gt; 3 Years</t>
  </si>
  <si>
    <t>&gt; ₹1 Crore</t>
  </si>
  <si>
    <t>&gt; ₹10 Crores</t>
  </si>
  <si>
    <t>30%</t>
  </si>
  <si>
    <t>Regular Income</t>
  </si>
  <si>
    <t>Very Aggressive</t>
  </si>
  <si>
    <t>Closed – Invested</t>
  </si>
  <si>
    <t>66+</t>
  </si>
  <si>
    <t>Capital Preservation</t>
  </si>
  <si>
    <t>Legacy / Estate Planning</t>
  </si>
  <si>
    <t>CLIENT RISK SCORE CALCULATOR</t>
  </si>
  <si>
    <t>Select client response from each dropdown — Score auto-calculates</t>
  </si>
  <si>
    <t>Parameter</t>
  </si>
  <si>
    <t>Client Response (Select ▼)</t>
  </si>
  <si>
    <t>Score</t>
  </si>
  <si>
    <t>Max</t>
  </si>
  <si>
    <t>Weight</t>
  </si>
  <si>
    <t>Age (years)</t>
  </si>
  <si>
    <t>Investment Horizon</t>
  </si>
  <si>
    <t>Annual Income</t>
  </si>
  <si>
    <t>Net Worth</t>
  </si>
  <si>
    <t>Reaction to 20% Portfolio Fall</t>
  </si>
  <si>
    <t>Investment Knowledge Level</t>
  </si>
  <si>
    <t>Prior Capital Market Experience</t>
  </si>
  <si>
    <t>% of Savings Willing to Risk</t>
  </si>
  <si>
    <t>Liquidity Requirement</t>
  </si>
  <si>
    <t>Loans / Liabilities</t>
  </si>
  <si>
    <t>TOTAL RISK SCORE</t>
  </si>
  <si>
    <t>RISK PROFILE (Auto)</t>
  </si>
  <si>
    <t>RISK PROFILE SCORE MAPPING</t>
  </si>
  <si>
    <t>Profile</t>
  </si>
  <si>
    <t>Suitable Products</t>
  </si>
  <si>
    <t>10–17</t>
  </si>
  <si>
    <t>Debt MF, Liquid MF, Insurance, FD</t>
  </si>
  <si>
    <t>Balanced MF, Insurance, Large Cap MF</t>
  </si>
  <si>
    <t>26–33</t>
  </si>
  <si>
    <t>Hybrid MF, Balanced Advantage Fund, PMS sel.</t>
  </si>
  <si>
    <t>34–40</t>
  </si>
  <si>
    <t>Equity MF, PMS, SIF</t>
  </si>
  <si>
    <t>41–47</t>
  </si>
  <si>
    <t>Direct Equity, PMS, AIF, SIF</t>
  </si>
  <si>
    <t>48–50</t>
  </si>
  <si>
    <t>Direct Equity, AIF Cat III, International</t>
  </si>
  <si>
    <t>⚠ Score is auto-calculated when client response is selected from dropdown. Total and Profile update automatically.</t>
  </si>
  <si>
    <t>QUICK PRODUCT SUITABILITY CHECK</t>
  </si>
  <si>
    <t>Select client profile inputs — suitability auto-fills</t>
  </si>
  <si>
    <t xml:space="preserve">  CLIENT INPUTS</t>
  </si>
  <si>
    <t xml:space="preserve">  SUITABILITY RESULT (Auto)</t>
  </si>
  <si>
    <t>Suitability Dimension</t>
  </si>
  <si>
    <t>Mutual
Funds</t>
  </si>
  <si>
    <t>Direct
Equity</t>
  </si>
  <si>
    <t>Insurance
(Life/ULIP)</t>
  </si>
  <si>
    <t>PMS</t>
  </si>
  <si>
    <t>AIF</t>
  </si>
  <si>
    <t>SIF</t>
  </si>
  <si>
    <t>Based on Risk Profile</t>
  </si>
  <si>
    <t>Based on Horizon</t>
  </si>
  <si>
    <t>Based on Investable Surplus</t>
  </si>
  <si>
    <t>Based on Liquidity Need</t>
  </si>
  <si>
    <t>Legend:  ✅ Suitable for this client   ⚠ Conditionally Suitable   ❌ Not Suitable   — (Input not yet selected)</t>
  </si>
  <si>
    <t>⚠ Select client inputs (yellow cells above) to auto-generate suitability. Final recommendation subject to complete KYC and risk profiling.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</si>
</sst>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18.0"/>
      <color rgb="FFFFFFFF"/>
      <name val="Arial"/>
    </font>
    <font/>
    <font>
      <b/>
      <sz val="10.0"/>
      <color rgb="FFFFFFFF"/>
      <name val="Arial"/>
    </font>
    <font>
      <b/>
      <sz val="9.0"/>
      <color rgb="FF1B2A4A"/>
      <name val="Arial"/>
    </font>
    <font>
      <sz val="11.0"/>
      <color theme="1"/>
      <name val="Calibri"/>
    </font>
    <font>
      <b/>
      <sz val="9.0"/>
      <color rgb="FFFFFFFF"/>
      <name val="Arial"/>
    </font>
    <font>
      <sz val="10.0"/>
      <color rgb="FF4A5568"/>
      <name val="Arial"/>
    </font>
    <font>
      <sz val="10.0"/>
      <color theme="1"/>
      <name val="Arial"/>
    </font>
    <font>
      <i/>
      <sz val="8.0"/>
      <color rgb="FFC0392B"/>
      <name val="Arial"/>
    </font>
    <font>
      <b/>
      <sz val="11.0"/>
      <color theme="1"/>
      <name val="Arial"/>
    </font>
    <font>
      <color theme="1"/>
      <name val="Calibri"/>
      <scheme val="minor"/>
    </font>
    <font>
      <b/>
      <sz val="10.0"/>
      <color rgb="FF1B2A4A"/>
      <name val="Arial"/>
    </font>
    <font>
      <b/>
      <sz val="12.0"/>
      <color rgb="FF1B2A4A"/>
      <name val="Arial"/>
    </font>
    <font>
      <b/>
      <sz val="13.0"/>
      <color rgb="FFFFFFFF"/>
      <name val="Arial"/>
    </font>
    <font>
      <b/>
      <sz val="16.0"/>
      <color rgb="FF1B2A4A"/>
      <name val="Arial"/>
    </font>
    <font>
      <b/>
      <sz val="12.0"/>
      <color rgb="FF4A5568"/>
      <name val="Arial"/>
    </font>
    <font>
      <b/>
      <sz val="11.0"/>
      <color rgb="FFFFFFFF"/>
      <name val="Arial"/>
    </font>
    <font>
      <sz val="10.0"/>
      <color rgb="FF1A7A4A"/>
      <name val="Arial"/>
    </font>
    <font>
      <b/>
      <sz val="10.0"/>
      <color rgb="FF1A7A4A"/>
      <name val="Arial"/>
    </font>
    <font>
      <sz val="10.0"/>
      <color rgb="FF33691E"/>
      <name val="Arial"/>
    </font>
    <font>
      <b/>
      <sz val="10.0"/>
      <color rgb="FF33691E"/>
      <name val="Arial"/>
    </font>
    <font>
      <sz val="10.0"/>
      <color rgb="FFF57F17"/>
      <name val="Arial"/>
    </font>
    <font>
      <b/>
      <sz val="10.0"/>
      <color rgb="FFF57F17"/>
      <name val="Arial"/>
    </font>
    <font>
      <sz val="10.0"/>
      <color rgb="FFE65100"/>
      <name val="Arial"/>
    </font>
    <font>
      <b/>
      <sz val="10.0"/>
      <color rgb="FFE65100"/>
      <name val="Arial"/>
    </font>
    <font>
      <sz val="10.0"/>
      <color rgb="FFBF360C"/>
      <name val="Arial"/>
    </font>
    <font>
      <b/>
      <sz val="10.0"/>
      <color rgb="FFBF360C"/>
      <name val="Arial"/>
    </font>
    <font>
      <sz val="10.0"/>
      <color rgb="FFB71C1C"/>
      <name val="Arial"/>
    </font>
    <font>
      <b/>
      <sz val="10.0"/>
      <color rgb="FFB71C1C"/>
      <name val="Arial"/>
    </font>
    <font>
      <sz val="13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C9A84C"/>
        <bgColor rgb="FFC9A84C"/>
      </patternFill>
    </fill>
    <fill>
      <patternFill patternType="solid">
        <fgColor rgb="FFD6E4F7"/>
        <bgColor rgb="FFD6E4F7"/>
      </patternFill>
    </fill>
    <fill>
      <patternFill patternType="solid">
        <fgColor rgb="FFFFFDE7"/>
        <bgColor rgb="FFFFFDE7"/>
      </patternFill>
    </fill>
    <fill>
      <patternFill patternType="solid">
        <fgColor rgb="FF0D6E6E"/>
        <bgColor rgb="FF0D6E6E"/>
      </patternFill>
    </fill>
    <fill>
      <patternFill patternType="solid">
        <fgColor rgb="FFEBF4FF"/>
        <bgColor rgb="FFEBF4FF"/>
      </patternFill>
    </fill>
    <fill>
      <patternFill patternType="solid">
        <fgColor rgb="FFFFFFFF"/>
        <bgColor rgb="FFFFFFFF"/>
      </patternFill>
    </fill>
    <fill>
      <patternFill patternType="solid">
        <fgColor rgb="FF2D4A7A"/>
        <bgColor rgb="FF2D4A7A"/>
      </patternFill>
    </fill>
    <fill>
      <patternFill patternType="solid">
        <fgColor rgb="FFE6F4F4"/>
        <bgColor rgb="FFE6F4F4"/>
      </patternFill>
    </fill>
    <fill>
      <patternFill patternType="solid">
        <fgColor rgb="FF8B5C0A"/>
        <bgColor rgb="FF8B5C0A"/>
      </patternFill>
    </fill>
    <fill>
      <patternFill patternType="solid">
        <fgColor rgb="FFFDF6E3"/>
        <bgColor rgb="FFFDF6E3"/>
      </patternFill>
    </fill>
    <fill>
      <patternFill patternType="solid">
        <fgColor rgb="FF6B46C1"/>
        <bgColor rgb="FF6B46C1"/>
      </patternFill>
    </fill>
    <fill>
      <patternFill patternType="solid">
        <fgColor rgb="FFF7F8FA"/>
        <bgColor rgb="FFF7F8FA"/>
      </patternFill>
    </fill>
    <fill>
      <patternFill patternType="solid">
        <fgColor rgb="FFE8F5E9"/>
        <bgColor rgb="FFE8F5E9"/>
      </patternFill>
    </fill>
    <fill>
      <patternFill patternType="solid">
        <fgColor rgb="FF4A5568"/>
        <bgColor rgb="FF4A5568"/>
      </patternFill>
    </fill>
    <fill>
      <patternFill patternType="solid">
        <fgColor rgb="FFDCEDC8"/>
        <bgColor rgb="FFDCEDC8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FFCCBC"/>
        <bgColor rgb="FFFFCCBC"/>
      </patternFill>
    </fill>
    <fill>
      <patternFill patternType="solid">
        <fgColor rgb="FFFFCDD2"/>
        <bgColor rgb="FFFFCDD2"/>
      </patternFill>
    </fill>
    <fill>
      <patternFill patternType="solid">
        <fgColor rgb="FF8B1A1A"/>
        <bgColor rgb="FF8B1A1A"/>
      </patternFill>
    </fill>
    <fill>
      <patternFill patternType="solid">
        <fgColor rgb="FF1A5C1A"/>
        <bgColor rgb="FF1A5C1A"/>
      </patternFill>
    </fill>
    <fill>
      <patternFill patternType="solid">
        <fgColor rgb="FFF5F5F5"/>
        <bgColor rgb="FFF5F5F5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medium">
        <color rgb="FF1B2A4A"/>
      </left>
      <top style="medium">
        <color rgb="FF1B2A4A"/>
      </top>
      <bottom style="medium">
        <color rgb="FF1B2A4A"/>
      </bottom>
    </border>
    <border>
      <top style="medium">
        <color rgb="FF1B2A4A"/>
      </top>
      <bottom style="medium">
        <color rgb="FF1B2A4A"/>
      </bottom>
    </border>
    <border>
      <right/>
      <top style="medium">
        <color rgb="FF1B2A4A"/>
      </top>
      <bottom style="medium">
        <color rgb="FF1B2A4A"/>
      </bottom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shrinkToFit="0" vertical="bottom" wrapText="0"/>
    </xf>
    <xf borderId="5" fillId="5" fontId="5" numFmtId="0" xfId="0" applyAlignment="1" applyBorder="1" applyFont="1">
      <alignment shrinkToFit="0" vertical="bottom" wrapText="0"/>
    </xf>
    <xf borderId="6" fillId="0" fontId="2" numFmtId="0" xfId="0" applyBorder="1" applyFont="1"/>
    <xf borderId="5" fillId="2" fontId="3" numFmtId="0" xfId="0" applyAlignment="1" applyBorder="1" applyFont="1">
      <alignment horizontal="left" shrinkToFit="0" vertical="center" wrapText="0"/>
    </xf>
    <xf borderId="7" fillId="0" fontId="2" numFmtId="0" xfId="0" applyBorder="1" applyFont="1"/>
    <xf borderId="4" fillId="6" fontId="6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ill="1" applyFont="1">
      <alignment horizontal="left" shrinkToFit="0" vertical="center" wrapText="1"/>
    </xf>
    <xf borderId="8" fillId="5" fontId="5" numFmtId="0" xfId="0" applyAlignment="1" applyBorder="1" applyFont="1">
      <alignment horizontal="left" shrinkToFit="0" vertical="center" wrapText="0"/>
    </xf>
    <xf borderId="9" fillId="0" fontId="2" numFmtId="0" xfId="0" applyBorder="1" applyFont="1"/>
    <xf borderId="10" fillId="0" fontId="2" numFmtId="0" xfId="0" applyBorder="1" applyFont="1"/>
    <xf borderId="5" fillId="8" fontId="7" numFmtId="0" xfId="0" applyAlignment="1" applyBorder="1" applyFill="1" applyFont="1">
      <alignment horizontal="left" shrinkToFit="0" vertical="center" wrapText="1"/>
    </xf>
    <xf borderId="5" fillId="9" fontId="3" numFmtId="0" xfId="0" applyAlignment="1" applyBorder="1" applyFill="1" applyFont="1">
      <alignment horizontal="left" shrinkToFit="0" vertical="center" wrapText="0"/>
    </xf>
    <xf borderId="4" fillId="9" fontId="6" numFmtId="0" xfId="0" applyAlignment="1" applyBorder="1" applyFont="1">
      <alignment horizontal="center" shrinkToFit="0" vertical="center" wrapText="1"/>
    </xf>
    <xf borderId="5" fillId="10" fontId="7" numFmtId="0" xfId="0" applyAlignment="1" applyBorder="1" applyFill="1" applyFont="1">
      <alignment horizontal="left" shrinkToFit="0" vertical="center" wrapText="1"/>
    </xf>
    <xf borderId="5" fillId="11" fontId="3" numFmtId="0" xfId="0" applyAlignment="1" applyBorder="1" applyFill="1" applyFont="1">
      <alignment horizontal="left" shrinkToFit="0" vertical="center" wrapText="0"/>
    </xf>
    <xf borderId="4" fillId="3" fontId="6" numFmtId="0" xfId="0" applyAlignment="1" applyBorder="1" applyFont="1">
      <alignment horizontal="center" shrinkToFit="0" vertical="center" wrapText="1"/>
    </xf>
    <xf borderId="5" fillId="12" fontId="7" numFmtId="0" xfId="0" applyAlignment="1" applyBorder="1" applyFill="1" applyFont="1">
      <alignment horizontal="left" shrinkToFit="0" vertical="center" wrapText="1"/>
    </xf>
    <xf borderId="5" fillId="6" fontId="3" numFmtId="0" xfId="0" applyAlignment="1" applyBorder="1" applyFont="1">
      <alignment horizontal="left" shrinkToFit="0" vertical="center" wrapText="0"/>
    </xf>
    <xf borderId="4" fillId="6" fontId="6" numFmtId="0" xfId="0" applyAlignment="1" applyBorder="1" applyFont="1">
      <alignment horizontal="center" readingOrder="0" shrinkToFit="0" vertical="center" wrapText="1"/>
    </xf>
    <xf borderId="5" fillId="13" fontId="3" numFmtId="0" xfId="0" applyAlignment="1" applyBorder="1" applyFill="1" applyFont="1">
      <alignment horizontal="left" shrinkToFit="0" vertical="center" wrapText="0"/>
    </xf>
    <xf borderId="4" fillId="13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14" fontId="7" numFmtId="0" xfId="0" applyAlignment="1" applyBorder="1" applyFill="1" applyFont="1">
      <alignment horizontal="left" shrinkToFit="0" vertical="center" wrapText="1"/>
    </xf>
    <xf borderId="5" fillId="14" fontId="7" numFmtId="0" xfId="0" applyAlignment="1" applyBorder="1" applyFont="1">
      <alignment horizontal="left" readingOrder="0" shrinkToFit="0" vertical="center" wrapText="1"/>
    </xf>
    <xf borderId="5" fillId="12" fontId="8" numFmtId="0" xfId="0" applyAlignment="1" applyBorder="1" applyFont="1">
      <alignment horizontal="center" shrinkToFit="0" vertical="center" wrapText="1"/>
    </xf>
    <xf borderId="1" fillId="8" fontId="9" numFmtId="0" xfId="0" applyAlignment="1" applyBorder="1" applyFont="1">
      <alignment horizontal="left" shrinkToFit="0" vertical="center" wrapText="0"/>
    </xf>
    <xf borderId="0" fillId="0" fontId="10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1" numFmtId="0" xfId="0" applyFont="1"/>
    <xf borderId="4" fillId="6" fontId="3" numFmtId="0" xfId="0" applyAlignment="1" applyBorder="1" applyFont="1">
      <alignment horizontal="center" shrinkToFit="0" vertical="center" wrapText="1"/>
    </xf>
    <xf borderId="4" fillId="7" fontId="12" numFmtId="0" xfId="0" applyAlignment="1" applyBorder="1" applyFont="1">
      <alignment horizontal="left" shrinkToFit="0" vertical="center" wrapText="1"/>
    </xf>
    <xf borderId="11" fillId="5" fontId="5" numFmtId="0" xfId="0" applyAlignment="1" applyBorder="1" applyFont="1">
      <alignment horizontal="left" readingOrder="0" shrinkToFit="0" vertical="center" wrapText="0"/>
    </xf>
    <xf borderId="4" fillId="15" fontId="13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8" fontId="12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8" fillId="2" fontId="14" numFmtId="0" xfId="0" applyAlignment="1" applyBorder="1" applyFont="1">
      <alignment horizontal="center" shrinkToFit="0" vertical="center" wrapText="1"/>
    </xf>
    <xf borderId="11" fillId="3" fontId="15" numFmtId="0" xfId="0" applyAlignment="1" applyBorder="1" applyFont="1">
      <alignment horizontal="center" shrinkToFit="0" vertical="center" wrapText="1"/>
    </xf>
    <xf borderId="11" fillId="4" fontId="16" numFmtId="0" xfId="0" applyAlignment="1" applyBorder="1" applyFont="1">
      <alignment horizontal="center" shrinkToFit="0" vertical="center" wrapText="1"/>
    </xf>
    <xf borderId="5" fillId="6" fontId="17" numFmtId="0" xfId="0" applyAlignment="1" applyBorder="1" applyFont="1">
      <alignment horizontal="center" shrinkToFit="0" vertical="center" wrapText="1"/>
    </xf>
    <xf borderId="5" fillId="12" fontId="13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" fillId="9" fontId="17" numFmtId="0" xfId="0" applyAlignment="1" applyBorder="1" applyFont="1">
      <alignment horizontal="center" shrinkToFit="0" vertical="center" wrapText="1"/>
    </xf>
    <xf borderId="4" fillId="16" fontId="6" numFmtId="0" xfId="0" applyAlignment="1" applyBorder="1" applyFill="1" applyFont="1">
      <alignment horizontal="center" shrinkToFit="0" vertical="center" wrapText="1"/>
    </xf>
    <xf borderId="4" fillId="15" fontId="18" numFmtId="0" xfId="0" applyAlignment="1" applyBorder="1" applyFont="1">
      <alignment horizontal="center" shrinkToFit="0" vertical="center" wrapText="1"/>
    </xf>
    <xf borderId="4" fillId="15" fontId="19" numFmtId="0" xfId="0" applyAlignment="1" applyBorder="1" applyFont="1">
      <alignment horizontal="center" shrinkToFit="0" vertical="center" wrapText="1"/>
    </xf>
    <xf borderId="5" fillId="15" fontId="7" numFmtId="0" xfId="0" applyAlignment="1" applyBorder="1" applyFont="1">
      <alignment horizontal="left" shrinkToFit="0" vertical="center" wrapText="0"/>
    </xf>
    <xf borderId="4" fillId="17" fontId="20" numFmtId="0" xfId="0" applyAlignment="1" applyBorder="1" applyFill="1" applyFont="1">
      <alignment horizontal="center" shrinkToFit="0" vertical="center" wrapText="1"/>
    </xf>
    <xf borderId="4" fillId="17" fontId="21" numFmtId="0" xfId="0" applyAlignment="1" applyBorder="1" applyFont="1">
      <alignment horizontal="center" shrinkToFit="0" vertical="center" wrapText="1"/>
    </xf>
    <xf borderId="5" fillId="17" fontId="7" numFmtId="0" xfId="0" applyAlignment="1" applyBorder="1" applyFont="1">
      <alignment horizontal="left" shrinkToFit="0" vertical="center" wrapText="0"/>
    </xf>
    <xf borderId="4" fillId="18" fontId="22" numFmtId="0" xfId="0" applyAlignment="1" applyBorder="1" applyFill="1" applyFont="1">
      <alignment horizontal="center" shrinkToFit="0" vertical="center" wrapText="1"/>
    </xf>
    <xf borderId="4" fillId="18" fontId="23" numFmtId="0" xfId="0" applyAlignment="1" applyBorder="1" applyFont="1">
      <alignment horizontal="center" shrinkToFit="0" vertical="center" wrapText="1"/>
    </xf>
    <xf borderId="5" fillId="18" fontId="7" numFmtId="0" xfId="0" applyAlignment="1" applyBorder="1" applyFont="1">
      <alignment horizontal="left" shrinkToFit="0" vertical="center" wrapText="0"/>
    </xf>
    <xf borderId="4" fillId="19" fontId="24" numFmtId="0" xfId="0" applyAlignment="1" applyBorder="1" applyFill="1" applyFont="1">
      <alignment horizontal="center" shrinkToFit="0" vertical="center" wrapText="1"/>
    </xf>
    <xf borderId="4" fillId="19" fontId="25" numFmtId="0" xfId="0" applyAlignment="1" applyBorder="1" applyFont="1">
      <alignment horizontal="center" shrinkToFit="0" vertical="center" wrapText="1"/>
    </xf>
    <xf borderId="5" fillId="19" fontId="7" numFmtId="0" xfId="0" applyAlignment="1" applyBorder="1" applyFont="1">
      <alignment horizontal="left" shrinkToFit="0" vertical="center" wrapText="0"/>
    </xf>
    <xf borderId="4" fillId="20" fontId="26" numFmtId="0" xfId="0" applyAlignment="1" applyBorder="1" applyFill="1" applyFont="1">
      <alignment horizontal="center" shrinkToFit="0" vertical="center" wrapText="1"/>
    </xf>
    <xf borderId="4" fillId="20" fontId="27" numFmtId="0" xfId="0" applyAlignment="1" applyBorder="1" applyFont="1">
      <alignment horizontal="center" shrinkToFit="0" vertical="center" wrapText="1"/>
    </xf>
    <xf borderId="5" fillId="20" fontId="7" numFmtId="0" xfId="0" applyAlignment="1" applyBorder="1" applyFont="1">
      <alignment horizontal="left" shrinkToFit="0" vertical="center" wrapText="0"/>
    </xf>
    <xf borderId="4" fillId="21" fontId="28" numFmtId="0" xfId="0" applyAlignment="1" applyBorder="1" applyFill="1" applyFont="1">
      <alignment horizontal="center" shrinkToFit="0" vertical="center" wrapText="1"/>
    </xf>
    <xf borderId="4" fillId="21" fontId="29" numFmtId="0" xfId="0" applyAlignment="1" applyBorder="1" applyFont="1">
      <alignment horizontal="center" shrinkToFit="0" vertical="center" wrapText="1"/>
    </xf>
    <xf borderId="5" fillId="21" fontId="7" numFmtId="0" xfId="0" applyAlignment="1" applyBorder="1" applyFont="1">
      <alignment horizontal="left" shrinkToFit="0" vertical="center" wrapText="0"/>
    </xf>
    <xf borderId="1" fillId="8" fontId="9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left" shrinkToFit="0" vertical="center" wrapText="1"/>
    </xf>
    <xf borderId="8" fillId="5" fontId="5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9" fontId="3" numFmtId="0" xfId="0" applyAlignment="1" applyBorder="1" applyFont="1">
      <alignment horizontal="center" shrinkToFit="0" vertical="center" wrapText="1"/>
    </xf>
    <xf borderId="4" fillId="13" fontId="3" numFmtId="0" xfId="0" applyAlignment="1" applyBorder="1" applyFont="1">
      <alignment horizontal="center" shrinkToFit="0" vertical="center" wrapText="1"/>
    </xf>
    <xf borderId="4" fillId="22" fontId="3" numFmtId="0" xfId="0" applyAlignment="1" applyBorder="1" applyFill="1" applyFont="1">
      <alignment horizontal="center" shrinkToFit="0" vertical="center" wrapText="1"/>
    </xf>
    <xf borderId="4" fillId="2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24" fontId="30" numFmtId="0" xfId="0" applyAlignment="1" applyBorder="1" applyFill="1" applyFont="1">
      <alignment horizontal="center" shrinkToFit="0" vertical="center" wrapText="1"/>
    </xf>
    <xf borderId="4" fillId="10" fontId="12" numFmtId="0" xfId="0" applyAlignment="1" applyBorder="1" applyFont="1">
      <alignment horizontal="left" shrinkToFit="0" vertical="center" wrapText="1"/>
    </xf>
    <xf borderId="5" fillId="4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5.0"/>
    <col customWidth="1" min="3" max="3" width="4.0"/>
    <col customWidth="1" min="4" max="4" width="38.0"/>
    <col customWidth="1" min="5" max="5" width="30.0"/>
    <col customWidth="1" min="6" max="6" width="3.0"/>
    <col customWidth="1" min="7" max="7" width="22.0"/>
    <col customWidth="1" min="8" max="8" width="3.0"/>
    <col customWidth="1" min="9" max="9" width="22.0"/>
    <col customWidth="1" min="10" max="26" width="8.71"/>
  </cols>
  <sheetData>
    <row r="1" ht="7.5" customHeight="1"/>
    <row r="2" ht="48.0" customHeight="1">
      <c r="B2" s="1" t="s">
        <v>0</v>
      </c>
      <c r="C2" s="2"/>
      <c r="D2" s="2"/>
      <c r="E2" s="2"/>
      <c r="F2" s="2"/>
      <c r="G2" s="2"/>
      <c r="H2" s="2"/>
      <c r="I2" s="3"/>
    </row>
    <row r="3" ht="19.5" customHeight="1">
      <c r="B3" s="4" t="s">
        <v>1</v>
      </c>
      <c r="C3" s="2"/>
      <c r="D3" s="2"/>
      <c r="E3" s="2"/>
      <c r="F3" s="2"/>
      <c r="G3" s="2"/>
      <c r="H3" s="2"/>
      <c r="I3" s="3"/>
    </row>
    <row r="4" ht="21.75" customHeight="1">
      <c r="B4" s="5" t="s">
        <v>2</v>
      </c>
      <c r="C4" s="6"/>
      <c r="D4" s="5" t="s">
        <v>3</v>
      </c>
      <c r="E4" s="6"/>
      <c r="F4" s="6"/>
      <c r="G4" s="5" t="s">
        <v>4</v>
      </c>
      <c r="H4" s="7"/>
      <c r="I4" s="8"/>
    </row>
    <row r="5" ht="21.75" customHeight="1">
      <c r="B5" s="5" t="s">
        <v>5</v>
      </c>
      <c r="C5" s="6"/>
      <c r="D5" s="5" t="s">
        <v>6</v>
      </c>
      <c r="E5" s="6"/>
      <c r="F5" s="6"/>
      <c r="G5" s="5" t="s">
        <v>7</v>
      </c>
      <c r="H5" s="7"/>
      <c r="I5" s="8"/>
    </row>
    <row r="6" ht="7.5" customHeight="1"/>
    <row r="7" ht="19.5" customHeight="1">
      <c r="B7" s="9" t="s">
        <v>8</v>
      </c>
      <c r="C7" s="10"/>
      <c r="D7" s="10"/>
      <c r="E7" s="10"/>
      <c r="F7" s="10"/>
      <c r="G7" s="10"/>
      <c r="H7" s="10"/>
      <c r="I7" s="8"/>
    </row>
    <row r="8" ht="25.5" customHeight="1">
      <c r="B8" s="11" t="s">
        <v>9</v>
      </c>
      <c r="C8" s="12" t="s">
        <v>10</v>
      </c>
      <c r="D8" s="10"/>
      <c r="E8" s="10"/>
      <c r="F8" s="8"/>
      <c r="G8" s="13"/>
      <c r="H8" s="14"/>
      <c r="I8" s="15"/>
    </row>
    <row r="9" ht="25.5" customHeight="1">
      <c r="B9" s="11" t="s">
        <v>11</v>
      </c>
      <c r="C9" s="12" t="s">
        <v>12</v>
      </c>
      <c r="D9" s="10"/>
      <c r="E9" s="10"/>
      <c r="F9" s="8"/>
      <c r="G9" s="13"/>
      <c r="H9" s="14"/>
      <c r="I9" s="15"/>
    </row>
    <row r="10" ht="25.5" customHeight="1">
      <c r="B10" s="11" t="s">
        <v>13</v>
      </c>
      <c r="C10" s="16" t="s">
        <v>14</v>
      </c>
      <c r="D10" s="10"/>
      <c r="E10" s="10"/>
      <c r="F10" s="8"/>
      <c r="G10" s="13"/>
      <c r="H10" s="14"/>
      <c r="I10" s="15"/>
    </row>
    <row r="11" ht="25.5" customHeight="1">
      <c r="B11" s="11" t="s">
        <v>15</v>
      </c>
      <c r="C11" s="12" t="s">
        <v>16</v>
      </c>
      <c r="D11" s="10"/>
      <c r="E11" s="10"/>
      <c r="F11" s="8"/>
      <c r="G11" s="13"/>
      <c r="H11" s="14"/>
      <c r="I11" s="15"/>
    </row>
    <row r="12" ht="25.5" customHeight="1">
      <c r="B12" s="11" t="s">
        <v>17</v>
      </c>
      <c r="C12" s="16" t="s">
        <v>18</v>
      </c>
      <c r="D12" s="10"/>
      <c r="E12" s="10"/>
      <c r="F12" s="8"/>
      <c r="G12" s="13"/>
      <c r="H12" s="14"/>
      <c r="I12" s="15"/>
    </row>
    <row r="13" ht="25.5" customHeight="1">
      <c r="B13" s="11" t="s">
        <v>19</v>
      </c>
      <c r="C13" s="12" t="s">
        <v>20</v>
      </c>
      <c r="D13" s="10"/>
      <c r="E13" s="10"/>
      <c r="F13" s="8"/>
      <c r="G13" s="13"/>
      <c r="H13" s="14"/>
      <c r="I13" s="15"/>
    </row>
    <row r="14" ht="25.5" customHeight="1">
      <c r="B14" s="11" t="s">
        <v>21</v>
      </c>
      <c r="C14" s="16" t="s">
        <v>22</v>
      </c>
      <c r="D14" s="10"/>
      <c r="E14" s="10"/>
      <c r="F14" s="8"/>
      <c r="G14" s="13"/>
      <c r="H14" s="14"/>
      <c r="I14" s="15"/>
    </row>
    <row r="15" ht="4.5" customHeight="1"/>
    <row r="16" ht="19.5" customHeight="1">
      <c r="B16" s="17" t="s">
        <v>23</v>
      </c>
      <c r="C16" s="10"/>
      <c r="D16" s="10"/>
      <c r="E16" s="10"/>
      <c r="F16" s="10"/>
      <c r="G16" s="10"/>
      <c r="H16" s="10"/>
      <c r="I16" s="8"/>
    </row>
    <row r="17" ht="25.5" customHeight="1">
      <c r="B17" s="18" t="s">
        <v>24</v>
      </c>
      <c r="C17" s="19" t="s">
        <v>25</v>
      </c>
      <c r="D17" s="10"/>
      <c r="E17" s="10"/>
      <c r="F17" s="8"/>
      <c r="G17" s="13"/>
      <c r="H17" s="14"/>
      <c r="I17" s="15"/>
    </row>
    <row r="18" ht="25.5" customHeight="1">
      <c r="B18" s="18" t="s">
        <v>26</v>
      </c>
      <c r="C18" s="16" t="s">
        <v>27</v>
      </c>
      <c r="D18" s="10"/>
      <c r="E18" s="10"/>
      <c r="F18" s="8"/>
      <c r="G18" s="13"/>
      <c r="H18" s="14"/>
      <c r="I18" s="15"/>
    </row>
    <row r="19" ht="25.5" customHeight="1">
      <c r="B19" s="18" t="s">
        <v>28</v>
      </c>
      <c r="C19" s="19" t="s">
        <v>29</v>
      </c>
      <c r="D19" s="10"/>
      <c r="E19" s="10"/>
      <c r="F19" s="8"/>
      <c r="G19" s="13"/>
      <c r="H19" s="14"/>
      <c r="I19" s="15"/>
    </row>
    <row r="20" ht="25.5" customHeight="1">
      <c r="B20" s="18" t="s">
        <v>30</v>
      </c>
      <c r="C20" s="16" t="s">
        <v>31</v>
      </c>
      <c r="D20" s="10"/>
      <c r="E20" s="10"/>
      <c r="F20" s="8"/>
      <c r="G20" s="13"/>
      <c r="H20" s="14"/>
      <c r="I20" s="15"/>
    </row>
    <row r="21" ht="25.5" customHeight="1">
      <c r="B21" s="18" t="s">
        <v>32</v>
      </c>
      <c r="C21" s="19" t="s">
        <v>33</v>
      </c>
      <c r="D21" s="10"/>
      <c r="E21" s="10"/>
      <c r="F21" s="8"/>
      <c r="G21" s="13"/>
      <c r="H21" s="14"/>
      <c r="I21" s="15"/>
    </row>
    <row r="22" ht="25.5" customHeight="1">
      <c r="B22" s="18" t="s">
        <v>34</v>
      </c>
      <c r="C22" s="16" t="s">
        <v>35</v>
      </c>
      <c r="D22" s="10"/>
      <c r="E22" s="10"/>
      <c r="F22" s="8"/>
      <c r="G22" s="13"/>
      <c r="H22" s="14"/>
      <c r="I22" s="15"/>
    </row>
    <row r="23" ht="25.5" customHeight="1">
      <c r="B23" s="18" t="s">
        <v>36</v>
      </c>
      <c r="C23" s="19" t="s">
        <v>37</v>
      </c>
      <c r="D23" s="10"/>
      <c r="E23" s="10"/>
      <c r="F23" s="8"/>
      <c r="G23" s="13"/>
      <c r="H23" s="14"/>
      <c r="I23" s="15"/>
    </row>
    <row r="24" ht="4.5" customHeight="1"/>
    <row r="25" ht="19.5" customHeight="1">
      <c r="B25" s="20" t="s">
        <v>38</v>
      </c>
      <c r="C25" s="10"/>
      <c r="D25" s="10"/>
      <c r="E25" s="10"/>
      <c r="F25" s="10"/>
      <c r="G25" s="10"/>
      <c r="H25" s="10"/>
      <c r="I25" s="8"/>
    </row>
    <row r="26" ht="25.5" customHeight="1">
      <c r="B26" s="21" t="s">
        <v>39</v>
      </c>
      <c r="C26" s="22" t="s">
        <v>40</v>
      </c>
      <c r="D26" s="10"/>
      <c r="E26" s="10"/>
      <c r="F26" s="8"/>
      <c r="G26" s="13"/>
      <c r="H26" s="14"/>
      <c r="I26" s="15"/>
    </row>
    <row r="27" ht="25.5" customHeight="1">
      <c r="B27" s="21" t="s">
        <v>41</v>
      </c>
      <c r="C27" s="16" t="s">
        <v>42</v>
      </c>
      <c r="D27" s="10"/>
      <c r="E27" s="10"/>
      <c r="F27" s="8"/>
      <c r="G27" s="13"/>
      <c r="H27" s="14"/>
      <c r="I27" s="15"/>
    </row>
    <row r="28" ht="25.5" customHeight="1">
      <c r="B28" s="21" t="s">
        <v>43</v>
      </c>
      <c r="C28" s="22" t="s">
        <v>44</v>
      </c>
      <c r="D28" s="10"/>
      <c r="E28" s="10"/>
      <c r="F28" s="8"/>
      <c r="G28" s="13"/>
      <c r="H28" s="14"/>
      <c r="I28" s="15"/>
    </row>
    <row r="29" ht="25.5" customHeight="1">
      <c r="B29" s="21" t="s">
        <v>45</v>
      </c>
      <c r="C29" s="16" t="s">
        <v>46</v>
      </c>
      <c r="D29" s="10"/>
      <c r="E29" s="10"/>
      <c r="F29" s="8"/>
      <c r="G29" s="13"/>
      <c r="H29" s="14"/>
      <c r="I29" s="15"/>
    </row>
    <row r="30" ht="25.5" customHeight="1">
      <c r="B30" s="21" t="s">
        <v>47</v>
      </c>
      <c r="C30" s="22" t="s">
        <v>48</v>
      </c>
      <c r="D30" s="10"/>
      <c r="E30" s="10"/>
      <c r="F30" s="8"/>
      <c r="G30" s="13"/>
      <c r="H30" s="14"/>
      <c r="I30" s="15"/>
    </row>
    <row r="31" ht="25.5" customHeight="1">
      <c r="B31" s="21" t="s">
        <v>49</v>
      </c>
      <c r="C31" s="16" t="s">
        <v>50</v>
      </c>
      <c r="D31" s="10"/>
      <c r="E31" s="10"/>
      <c r="F31" s="8"/>
      <c r="G31" s="13"/>
      <c r="H31" s="14"/>
      <c r="I31" s="15"/>
    </row>
    <row r="32" ht="25.5" customHeight="1">
      <c r="B32" s="21" t="s">
        <v>51</v>
      </c>
      <c r="C32" s="22" t="s">
        <v>52</v>
      </c>
      <c r="D32" s="10"/>
      <c r="E32" s="10"/>
      <c r="F32" s="8"/>
      <c r="G32" s="13"/>
      <c r="H32" s="14"/>
      <c r="I32" s="15"/>
    </row>
    <row r="33" ht="4.5" customHeight="1"/>
    <row r="34" ht="19.5" customHeight="1">
      <c r="B34" s="23" t="s">
        <v>53</v>
      </c>
      <c r="C34" s="10"/>
      <c r="D34" s="10"/>
      <c r="E34" s="10"/>
      <c r="F34" s="10"/>
      <c r="G34" s="10"/>
      <c r="H34" s="10"/>
      <c r="I34" s="8"/>
    </row>
    <row r="35" ht="25.5" customHeight="1">
      <c r="B35" s="11" t="s">
        <v>54</v>
      </c>
      <c r="C35" s="19" t="s">
        <v>55</v>
      </c>
      <c r="D35" s="10"/>
      <c r="E35" s="10"/>
      <c r="F35" s="8"/>
      <c r="G35" s="13"/>
      <c r="H35" s="14"/>
      <c r="I35" s="15"/>
    </row>
    <row r="36" ht="25.5" customHeight="1">
      <c r="B36" s="24" t="s">
        <v>56</v>
      </c>
      <c r="C36" s="19" t="s">
        <v>57</v>
      </c>
      <c r="D36" s="10"/>
      <c r="E36" s="10"/>
      <c r="F36" s="8"/>
      <c r="G36" s="13"/>
      <c r="H36" s="14"/>
      <c r="I36" s="15"/>
    </row>
    <row r="37" ht="25.5" customHeight="1">
      <c r="B37" s="24" t="s">
        <v>58</v>
      </c>
      <c r="C37" s="16" t="s">
        <v>59</v>
      </c>
      <c r="D37" s="10"/>
      <c r="E37" s="10"/>
      <c r="F37" s="8"/>
      <c r="G37" s="13"/>
      <c r="H37" s="14"/>
      <c r="I37" s="15"/>
    </row>
    <row r="38" ht="25.5" customHeight="1">
      <c r="B38" s="24" t="s">
        <v>60</v>
      </c>
      <c r="C38" s="19" t="s">
        <v>61</v>
      </c>
      <c r="D38" s="10"/>
      <c r="E38" s="10"/>
      <c r="F38" s="8"/>
      <c r="G38" s="13"/>
      <c r="H38" s="14"/>
      <c r="I38" s="15"/>
    </row>
    <row r="39" ht="4.5" customHeight="1"/>
    <row r="40" ht="19.5" customHeight="1">
      <c r="B40" s="25" t="s">
        <v>62</v>
      </c>
      <c r="C40" s="10"/>
      <c r="D40" s="10"/>
      <c r="E40" s="10"/>
      <c r="F40" s="10"/>
      <c r="G40" s="10"/>
      <c r="H40" s="10"/>
      <c r="I40" s="8"/>
    </row>
    <row r="41" ht="25.5" customHeight="1">
      <c r="B41" s="26" t="s">
        <v>63</v>
      </c>
      <c r="C41" s="12" t="s">
        <v>64</v>
      </c>
      <c r="D41" s="10"/>
      <c r="E41" s="10"/>
      <c r="F41" s="8"/>
      <c r="G41" s="13"/>
      <c r="H41" s="14"/>
      <c r="I41" s="15"/>
    </row>
    <row r="42" ht="25.5" customHeight="1">
      <c r="B42" s="26" t="s">
        <v>65</v>
      </c>
      <c r="C42" s="16" t="s">
        <v>66</v>
      </c>
      <c r="D42" s="10"/>
      <c r="E42" s="10"/>
      <c r="F42" s="8"/>
      <c r="G42" s="13"/>
      <c r="H42" s="14"/>
      <c r="I42" s="15"/>
    </row>
    <row r="43" ht="25.5" customHeight="1">
      <c r="B43" s="26" t="s">
        <v>67</v>
      </c>
      <c r="C43" s="12" t="s">
        <v>68</v>
      </c>
      <c r="D43" s="10"/>
      <c r="E43" s="10"/>
      <c r="F43" s="8"/>
      <c r="G43" s="13"/>
      <c r="H43" s="14"/>
      <c r="I43" s="15"/>
    </row>
    <row r="44" ht="25.5" customHeight="1">
      <c r="B44" s="26" t="s">
        <v>69</v>
      </c>
      <c r="C44" s="16" t="s">
        <v>70</v>
      </c>
      <c r="D44" s="10"/>
      <c r="E44" s="10"/>
      <c r="F44" s="8"/>
      <c r="G44" s="13"/>
      <c r="H44" s="14"/>
      <c r="I44" s="15"/>
    </row>
    <row r="45" ht="25.5" customHeight="1">
      <c r="B45" s="26" t="s">
        <v>71</v>
      </c>
      <c r="C45" s="12" t="s">
        <v>72</v>
      </c>
      <c r="D45" s="10"/>
      <c r="E45" s="10"/>
      <c r="F45" s="8"/>
      <c r="G45" s="13"/>
      <c r="H45" s="14"/>
      <c r="I45" s="15"/>
    </row>
    <row r="46" ht="25.5" customHeight="1">
      <c r="B46" s="26" t="s">
        <v>73</v>
      </c>
      <c r="C46" s="16" t="s">
        <v>74</v>
      </c>
      <c r="D46" s="10"/>
      <c r="E46" s="10"/>
      <c r="F46" s="8"/>
      <c r="G46" s="13"/>
      <c r="H46" s="14"/>
      <c r="I46" s="15"/>
    </row>
    <row r="47" ht="25.5" customHeight="1">
      <c r="B47" s="26" t="s">
        <v>75</v>
      </c>
      <c r="C47" s="12" t="s">
        <v>76</v>
      </c>
      <c r="D47" s="10"/>
      <c r="E47" s="10"/>
      <c r="F47" s="8"/>
      <c r="G47" s="13"/>
      <c r="H47" s="14"/>
      <c r="I47" s="15"/>
    </row>
    <row r="48" ht="25.5" customHeight="1">
      <c r="B48" s="26" t="s">
        <v>77</v>
      </c>
      <c r="C48" s="16" t="s">
        <v>78</v>
      </c>
      <c r="D48" s="10"/>
      <c r="E48" s="10"/>
      <c r="F48" s="8"/>
      <c r="G48" s="13"/>
      <c r="H48" s="14"/>
      <c r="I48" s="15"/>
    </row>
    <row r="49" ht="25.5" customHeight="1">
      <c r="B49" s="26" t="s">
        <v>79</v>
      </c>
      <c r="C49" s="12" t="s">
        <v>80</v>
      </c>
      <c r="D49" s="10"/>
      <c r="E49" s="10"/>
      <c r="F49" s="8"/>
      <c r="G49" s="13"/>
      <c r="H49" s="14"/>
      <c r="I49" s="15"/>
    </row>
    <row r="50" ht="25.5" customHeight="1">
      <c r="B50" s="26" t="s">
        <v>81</v>
      </c>
      <c r="C50" s="16" t="s">
        <v>82</v>
      </c>
      <c r="D50" s="10"/>
      <c r="E50" s="10"/>
      <c r="F50" s="8"/>
      <c r="G50" s="13"/>
      <c r="H50" s="14"/>
      <c r="I50" s="15"/>
    </row>
    <row r="51" ht="4.5" customHeight="1"/>
    <row r="52" ht="19.5" customHeight="1">
      <c r="B52" s="9" t="s">
        <v>83</v>
      </c>
      <c r="C52" s="10"/>
      <c r="D52" s="10"/>
      <c r="E52" s="10"/>
      <c r="F52" s="10"/>
      <c r="G52" s="10"/>
      <c r="H52" s="10"/>
      <c r="I52" s="8"/>
    </row>
    <row r="53" ht="27.75" customHeight="1">
      <c r="B53" s="27" t="s">
        <v>84</v>
      </c>
      <c r="C53" s="28" t="s">
        <v>85</v>
      </c>
      <c r="D53" s="10"/>
      <c r="E53" s="10"/>
      <c r="F53" s="8"/>
      <c r="G53" s="13"/>
      <c r="H53" s="14"/>
      <c r="I53" s="15"/>
    </row>
    <row r="54" ht="27.75" customHeight="1">
      <c r="B54" s="27" t="s">
        <v>86</v>
      </c>
      <c r="C54" s="16" t="s">
        <v>87</v>
      </c>
      <c r="D54" s="10"/>
      <c r="E54" s="10"/>
      <c r="F54" s="8"/>
      <c r="G54" s="13"/>
      <c r="H54" s="14"/>
      <c r="I54" s="15"/>
    </row>
    <row r="55" ht="27.75" customHeight="1">
      <c r="B55" s="27" t="s">
        <v>88</v>
      </c>
      <c r="C55" s="28" t="s">
        <v>89</v>
      </c>
      <c r="D55" s="10"/>
      <c r="E55" s="10"/>
      <c r="F55" s="8"/>
      <c r="G55" s="13"/>
      <c r="H55" s="14"/>
      <c r="I55" s="15"/>
    </row>
    <row r="56" ht="27.75" customHeight="1">
      <c r="B56" s="27" t="s">
        <v>90</v>
      </c>
      <c r="C56" s="16" t="s">
        <v>91</v>
      </c>
      <c r="D56" s="10"/>
      <c r="E56" s="10"/>
      <c r="F56" s="8"/>
      <c r="G56" s="13"/>
      <c r="H56" s="14"/>
      <c r="I56" s="15"/>
    </row>
    <row r="57" ht="27.75" customHeight="1">
      <c r="B57" s="27" t="s">
        <v>92</v>
      </c>
      <c r="C57" s="29" t="s">
        <v>93</v>
      </c>
      <c r="D57" s="10"/>
      <c r="E57" s="10"/>
      <c r="F57" s="8"/>
      <c r="G57" s="13"/>
      <c r="H57" s="14"/>
      <c r="I57" s="15"/>
    </row>
    <row r="58" ht="36.0" customHeight="1">
      <c r="B58" s="30" t="s">
        <v>94</v>
      </c>
      <c r="C58" s="10"/>
      <c r="D58" s="10"/>
      <c r="E58" s="8"/>
      <c r="F58" s="30" t="s">
        <v>95</v>
      </c>
      <c r="G58" s="10"/>
      <c r="H58" s="10"/>
      <c r="I58" s="8"/>
    </row>
    <row r="59" ht="18.0" customHeight="1">
      <c r="B59" s="31" t="s">
        <v>96</v>
      </c>
      <c r="C59" s="2"/>
      <c r="D59" s="2"/>
      <c r="E59" s="2"/>
      <c r="F59" s="2"/>
      <c r="G59" s="2"/>
      <c r="H59" s="2"/>
      <c r="I59" s="3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3">
    <mergeCell ref="B34:I34"/>
    <mergeCell ref="C35:F35"/>
    <mergeCell ref="G35:I35"/>
    <mergeCell ref="C36:F36"/>
    <mergeCell ref="G36:I36"/>
    <mergeCell ref="C37:F37"/>
    <mergeCell ref="G37:I37"/>
    <mergeCell ref="C38:F38"/>
    <mergeCell ref="G38:I38"/>
    <mergeCell ref="B40:I40"/>
    <mergeCell ref="C41:F41"/>
    <mergeCell ref="G41:I41"/>
    <mergeCell ref="C42:F42"/>
    <mergeCell ref="G42:I42"/>
    <mergeCell ref="C43:F43"/>
    <mergeCell ref="G43:I43"/>
    <mergeCell ref="C44:F44"/>
    <mergeCell ref="G44:I44"/>
    <mergeCell ref="G45:I45"/>
    <mergeCell ref="C45:F45"/>
    <mergeCell ref="C46:F46"/>
    <mergeCell ref="G46:I46"/>
    <mergeCell ref="C47:F47"/>
    <mergeCell ref="G47:I47"/>
    <mergeCell ref="C48:F48"/>
    <mergeCell ref="G48:I48"/>
    <mergeCell ref="C49:F49"/>
    <mergeCell ref="G49:I49"/>
    <mergeCell ref="C50:F50"/>
    <mergeCell ref="G50:I50"/>
    <mergeCell ref="B52:I52"/>
    <mergeCell ref="C53:F53"/>
    <mergeCell ref="G53:I53"/>
    <mergeCell ref="C57:F57"/>
    <mergeCell ref="B58:E58"/>
    <mergeCell ref="F58:I58"/>
    <mergeCell ref="B59:I59"/>
    <mergeCell ref="C54:F54"/>
    <mergeCell ref="G54:I54"/>
    <mergeCell ref="C55:F55"/>
    <mergeCell ref="G55:I55"/>
    <mergeCell ref="C56:F56"/>
    <mergeCell ref="G56:I56"/>
    <mergeCell ref="G57:I57"/>
    <mergeCell ref="B2:I2"/>
    <mergeCell ref="B3:I3"/>
    <mergeCell ref="H4:I4"/>
    <mergeCell ref="H5:I5"/>
    <mergeCell ref="B7:I7"/>
    <mergeCell ref="C8:F8"/>
    <mergeCell ref="G8:I8"/>
    <mergeCell ref="C9:F9"/>
    <mergeCell ref="G9:I9"/>
    <mergeCell ref="C10:F10"/>
    <mergeCell ref="G10:I10"/>
    <mergeCell ref="C11:F11"/>
    <mergeCell ref="G11:I11"/>
    <mergeCell ref="G12:I12"/>
    <mergeCell ref="C12:F12"/>
    <mergeCell ref="C13:F13"/>
    <mergeCell ref="G13:I13"/>
    <mergeCell ref="C14:F14"/>
    <mergeCell ref="G14:I14"/>
    <mergeCell ref="B16:I16"/>
    <mergeCell ref="G17:I17"/>
    <mergeCell ref="C17:F17"/>
    <mergeCell ref="C18:F18"/>
    <mergeCell ref="G18:I18"/>
    <mergeCell ref="C19:F19"/>
    <mergeCell ref="G19:I19"/>
    <mergeCell ref="C20:F20"/>
    <mergeCell ref="G20:I20"/>
    <mergeCell ref="C21:F21"/>
    <mergeCell ref="G21:I21"/>
    <mergeCell ref="C22:F22"/>
    <mergeCell ref="G22:I22"/>
    <mergeCell ref="C23:F23"/>
    <mergeCell ref="G23:I23"/>
    <mergeCell ref="B25:I25"/>
    <mergeCell ref="C26:F26"/>
    <mergeCell ref="G26:I26"/>
    <mergeCell ref="C27:F27"/>
    <mergeCell ref="G27:I27"/>
    <mergeCell ref="C28:F28"/>
    <mergeCell ref="G28:I28"/>
    <mergeCell ref="G29:I29"/>
    <mergeCell ref="C29:F29"/>
    <mergeCell ref="C30:F30"/>
    <mergeCell ref="G30:I30"/>
    <mergeCell ref="C31:F31"/>
    <mergeCell ref="G31:I31"/>
    <mergeCell ref="C32:F32"/>
    <mergeCell ref="G32:I32"/>
  </mergeCells>
  <dataValidations>
    <dataValidation type="list" allowBlank="1" showInputMessage="1" showErrorMessage="1" prompt="Select - Select an option" sqref="G36">
      <formula1>'_Lists'!$X$2:$X$4</formula1>
    </dataValidation>
    <dataValidation type="list" allowBlank="1" showInputMessage="1" showErrorMessage="1" prompt="Select - Select an option" sqref="G38 G44">
      <formula1>'_Lists'!$I$2:$I$4</formula1>
    </dataValidation>
    <dataValidation type="list" allowBlank="1" showInputMessage="1" showErrorMessage="1" prompt="Select - Select an option" sqref="G10">
      <formula1>'_Lists'!$B$2:$B$7</formula1>
    </dataValidation>
    <dataValidation type="list" allowBlank="1" showInputMessage="1" showErrorMessage="1" prompt="Select - Select an option" sqref="G30">
      <formula1>'_Lists'!$T$2:$T$6</formula1>
    </dataValidation>
    <dataValidation type="list" allowBlank="1" showInputMessage="1" showErrorMessage="1" prompt="Select - Select an option" sqref="G45 G48">
      <formula1>'_Lists'!$H$2:$H$4</formula1>
    </dataValidation>
    <dataValidation type="list" allowBlank="1" showInputMessage="1" showErrorMessage="1" prompt="Select - Select an option" sqref="G9">
      <formula1>'_Lists'!$A$2:$A$7</formula1>
    </dataValidation>
    <dataValidation type="list" allowBlank="1" showInputMessage="1" showErrorMessage="1" prompt="Select - Select review type" sqref="H5">
      <formula1>'_Lists'!$AE$2:$AE$6</formula1>
    </dataValidation>
    <dataValidation type="list" allowBlank="1" showInputMessage="1" showErrorMessage="1" prompt="Select - Select an option" sqref="G49">
      <formula1>'_Lists'!$AB$2:$AB$6</formula1>
    </dataValidation>
    <dataValidation type="list" allowBlank="1" showInputMessage="1" showErrorMessage="1" prompt="Select - Select an option" sqref="G50">
      <formula1>'_Lists'!$AC$2:$AC$5</formula1>
    </dataValidation>
    <dataValidation type="list" allowBlank="1" showInputMessage="1" showErrorMessage="1" prompt="Select - Select an option" sqref="G28">
      <formula1>'_Lists'!$R$2:$R$6</formula1>
    </dataValidation>
    <dataValidation type="list" allowBlank="1" showInputMessage="1" showErrorMessage="1" prompt="Select - Select an option" sqref="G46">
      <formula1>'_Lists'!$AA$2:$AA$4</formula1>
    </dataValidation>
    <dataValidation type="list" allowBlank="1" showInputMessage="1" showErrorMessage="1" prompt="Select - Select an option" sqref="G31">
      <formula1>'_Lists'!$U$2:$U$4</formula1>
    </dataValidation>
    <dataValidation type="list" allowBlank="1" showInputMessage="1" showErrorMessage="1" prompt="Select - Select an option" sqref="G18">
      <formula1>'_Lists'!$L$2:$L$6</formula1>
    </dataValidation>
    <dataValidation type="list" allowBlank="1" showInputMessage="1" showErrorMessage="1" prompt="Select - Select an option" sqref="G35">
      <formula1>'_Lists'!$V$2:$V$6</formula1>
    </dataValidation>
    <dataValidation type="list" allowBlank="1" showInputMessage="1" showErrorMessage="1" prompt="Select - Select an option" sqref="G19">
      <formula1>'_Lists'!$M$2:$M$8</formula1>
    </dataValidation>
    <dataValidation type="list" allowBlank="1" showInputMessage="1" showErrorMessage="1" prompt="Select - Select an option" sqref="G14">
      <formula1>'_Lists'!$F$2:$F$7</formula1>
    </dataValidation>
    <dataValidation type="list" allowBlank="1" showInputMessage="1" showErrorMessage="1" prompt="Select - Select an option" sqref="G32">
      <formula1>'_Lists'!$J$2:$J$4</formula1>
    </dataValidation>
    <dataValidation type="list" allowBlank="1" showInputMessage="1" showErrorMessage="1" prompt="Select - Select an option" sqref="G54">
      <formula1>'_Lists'!$AF$2:$AF$5</formula1>
    </dataValidation>
    <dataValidation type="list" allowBlank="1" showInputMessage="1" showErrorMessage="1" prompt="Select - Select an option" sqref="G13">
      <formula1>'_Lists'!$E$2:$E$5</formula1>
    </dataValidation>
    <dataValidation type="list" allowBlank="1" showInputMessage="1" showErrorMessage="1" prompt="Select - Select an option" sqref="G29">
      <formula1>'_Lists'!$S$2:$S$6</formula1>
    </dataValidation>
    <dataValidation type="list" allowBlank="1" showInputMessage="1" showErrorMessage="1" prompt="Select - Select an option" sqref="G21">
      <formula1>'_Lists'!$N$2:$N$5</formula1>
    </dataValidation>
    <dataValidation type="list" allowBlank="1" showInputMessage="1" showErrorMessage="1" prompt="Select - Select an option" sqref="G57">
      <formula1>'_Lists'!$AG$2:$AG$7</formula1>
    </dataValidation>
    <dataValidation type="list" allowBlank="1" showInputMessage="1" showErrorMessage="1" prompt="Select - Select an option" sqref="G17">
      <formula1>'_Lists'!$K$2:$K$9</formula1>
    </dataValidation>
    <dataValidation type="list" allowBlank="1" showInputMessage="1" showErrorMessage="1" prompt="Select - Select an option" sqref="G26">
      <formula1>'_Lists'!$P$2:$P$6</formula1>
    </dataValidation>
    <dataValidation type="list" allowBlank="1" showInputMessage="1" showErrorMessage="1" prompt="Select - Select an option" sqref="G12">
      <formula1>'_Lists'!$D$2:$D$5</formula1>
    </dataValidation>
    <dataValidation type="list" allowBlank="1" showInputMessage="1" showErrorMessage="1" prompt="Select - Select an option" sqref="G53">
      <formula1>'_Lists'!$AD$2:$AD$7</formula1>
    </dataValidation>
    <dataValidation type="list" allowBlank="1" showInputMessage="1" showErrorMessage="1" prompt="Select - Select an option" sqref="G22">
      <formula1>'_Lists'!$O$2:$O$5</formula1>
    </dataValidation>
    <dataValidation type="list" allowBlank="1" showInputMessage="1" showErrorMessage="1" prompt="Select - Select an option" sqref="G37">
      <formula1>'_Lists'!$Y$2:$Y$5</formula1>
    </dataValidation>
    <dataValidation type="list" allowBlank="1" showInputMessage="1" showErrorMessage="1" prompt="Select - Select an option" sqref="G41:G43">
      <formula1>'_Lists'!$Z$2:$Z$4</formula1>
    </dataValidation>
    <dataValidation type="list" allowBlank="1" showInputMessage="1" showErrorMessage="1" prompt="Select - Select an option" sqref="G11">
      <formula1>'_Lists'!$C$2:$C$7</formula1>
    </dataValidation>
    <dataValidation type="list" allowBlank="1" showInputMessage="1" showErrorMessage="1" prompt="Select - Select an option" sqref="G27">
      <formula1>'_Lists'!$Q$2:$Q$6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1" width="8.71"/>
  </cols>
  <sheetData>
    <row r="1">
      <c r="A1" s="32" t="s">
        <v>97</v>
      </c>
      <c r="B1" s="32" t="s">
        <v>98</v>
      </c>
      <c r="C1" s="32" t="s">
        <v>99</v>
      </c>
      <c r="D1" s="32" t="s">
        <v>100</v>
      </c>
      <c r="E1" s="32" t="s">
        <v>101</v>
      </c>
      <c r="F1" s="32" t="s">
        <v>102</v>
      </c>
      <c r="G1" s="32" t="s">
        <v>103</v>
      </c>
      <c r="H1" s="32" t="s">
        <v>104</v>
      </c>
      <c r="I1" s="32" t="s">
        <v>105</v>
      </c>
      <c r="J1" s="32" t="s">
        <v>106</v>
      </c>
      <c r="K1" s="32" t="s">
        <v>107</v>
      </c>
      <c r="L1" s="32" t="s">
        <v>108</v>
      </c>
      <c r="M1" s="32" t="s">
        <v>109</v>
      </c>
      <c r="N1" s="32" t="s">
        <v>110</v>
      </c>
      <c r="O1" s="32" t="s">
        <v>111</v>
      </c>
      <c r="P1" s="32" t="s">
        <v>112</v>
      </c>
      <c r="Q1" s="32" t="s">
        <v>113</v>
      </c>
      <c r="R1" s="32" t="s">
        <v>114</v>
      </c>
      <c r="S1" s="32" t="s">
        <v>115</v>
      </c>
      <c r="T1" s="32" t="s">
        <v>116</v>
      </c>
      <c r="U1" s="32" t="s">
        <v>117</v>
      </c>
      <c r="V1" s="32" t="s">
        <v>118</v>
      </c>
      <c r="W1" s="32" t="s">
        <v>119</v>
      </c>
      <c r="X1" s="32" t="s">
        <v>120</v>
      </c>
      <c r="Y1" s="32" t="s">
        <v>121</v>
      </c>
      <c r="Z1" s="32" t="s">
        <v>122</v>
      </c>
      <c r="AA1" s="32" t="s">
        <v>123</v>
      </c>
      <c r="AB1" s="32" t="s">
        <v>124</v>
      </c>
      <c r="AC1" s="32" t="s">
        <v>125</v>
      </c>
      <c r="AD1" s="32" t="s">
        <v>126</v>
      </c>
      <c r="AE1" s="32" t="s">
        <v>127</v>
      </c>
      <c r="AF1" s="32" t="s">
        <v>128</v>
      </c>
      <c r="AG1" s="32" t="s">
        <v>129</v>
      </c>
      <c r="AI1" s="32" t="s">
        <v>130</v>
      </c>
      <c r="AJ1" s="32" t="s">
        <v>131</v>
      </c>
      <c r="AK1" s="32" t="s">
        <v>132</v>
      </c>
      <c r="AL1" s="32" t="s">
        <v>133</v>
      </c>
      <c r="AM1" s="32" t="s">
        <v>134</v>
      </c>
      <c r="AN1" s="32" t="s">
        <v>135</v>
      </c>
      <c r="AO1" s="32" t="s">
        <v>136</v>
      </c>
      <c r="AP1" s="32" t="s">
        <v>137</v>
      </c>
      <c r="AQ1" s="32" t="s">
        <v>138</v>
      </c>
      <c r="AR1" s="32" t="s">
        <v>139</v>
      </c>
      <c r="AT1" s="32" t="s">
        <v>140</v>
      </c>
      <c r="AU1" s="32" t="s">
        <v>141</v>
      </c>
      <c r="AV1" s="32" t="s">
        <v>142</v>
      </c>
      <c r="AW1" s="32" t="s">
        <v>143</v>
      </c>
      <c r="AX1" s="32" t="s">
        <v>144</v>
      </c>
      <c r="AY1" s="32" t="s">
        <v>145</v>
      </c>
      <c r="AZ1" s="32" t="s">
        <v>146</v>
      </c>
      <c r="BA1" s="32" t="s">
        <v>147</v>
      </c>
      <c r="BB1" s="32" t="s">
        <v>148</v>
      </c>
      <c r="BC1" s="32" t="s">
        <v>149</v>
      </c>
      <c r="BD1" s="33" t="s">
        <v>150</v>
      </c>
      <c r="BE1" s="33" t="s">
        <v>151</v>
      </c>
      <c r="BF1" s="33" t="s">
        <v>152</v>
      </c>
      <c r="BG1" s="33" t="s">
        <v>153</v>
      </c>
      <c r="BH1" s="33" t="s">
        <v>154</v>
      </c>
      <c r="BI1" s="33" t="s">
        <v>155</v>
      </c>
    </row>
    <row r="2">
      <c r="A2" s="34" t="s">
        <v>156</v>
      </c>
      <c r="B2" s="34" t="s">
        <v>157</v>
      </c>
      <c r="C2" s="34" t="s">
        <v>158</v>
      </c>
      <c r="D2" s="34" t="s">
        <v>159</v>
      </c>
      <c r="E2" s="34" t="s">
        <v>160</v>
      </c>
      <c r="F2" s="34" t="s">
        <v>161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163</v>
      </c>
      <c r="L2" s="34" t="s">
        <v>164</v>
      </c>
      <c r="M2" s="34" t="s">
        <v>165</v>
      </c>
      <c r="N2" s="34" t="s">
        <v>166</v>
      </c>
      <c r="O2" s="34" t="s">
        <v>167</v>
      </c>
      <c r="P2" s="34" t="s">
        <v>168</v>
      </c>
      <c r="Q2" s="34" t="s">
        <v>169</v>
      </c>
      <c r="R2" s="34" t="s">
        <v>170</v>
      </c>
      <c r="S2" s="34" t="s">
        <v>171</v>
      </c>
      <c r="T2" s="34" t="s">
        <v>172</v>
      </c>
      <c r="U2" s="34" t="s">
        <v>173</v>
      </c>
      <c r="V2" s="34" t="s">
        <v>174</v>
      </c>
      <c r="W2" s="34" t="s">
        <v>175</v>
      </c>
      <c r="X2" s="34" t="s">
        <v>176</v>
      </c>
      <c r="Y2" s="34" t="s">
        <v>177</v>
      </c>
      <c r="Z2" s="34" t="s">
        <v>176</v>
      </c>
      <c r="AA2" s="34" t="s">
        <v>178</v>
      </c>
      <c r="AB2" s="34" t="s">
        <v>179</v>
      </c>
      <c r="AC2" s="34" t="s">
        <v>180</v>
      </c>
      <c r="AD2" s="34" t="s">
        <v>181</v>
      </c>
      <c r="AE2" s="34" t="s">
        <v>182</v>
      </c>
      <c r="AF2" s="34" t="s">
        <v>183</v>
      </c>
      <c r="AG2" s="34" t="s">
        <v>184</v>
      </c>
      <c r="AI2" s="34" t="s">
        <v>185</v>
      </c>
      <c r="AJ2" s="34" t="s">
        <v>164</v>
      </c>
      <c r="AK2" s="34" t="s">
        <v>156</v>
      </c>
      <c r="AL2" s="34" t="s">
        <v>157</v>
      </c>
      <c r="AM2" s="34" t="s">
        <v>186</v>
      </c>
      <c r="AN2" s="34" t="s">
        <v>187</v>
      </c>
      <c r="AO2" s="34" t="s">
        <v>170</v>
      </c>
      <c r="AP2" s="34" t="s">
        <v>188</v>
      </c>
      <c r="AQ2" s="34" t="s">
        <v>189</v>
      </c>
      <c r="AR2" s="34" t="s">
        <v>190</v>
      </c>
      <c r="AT2" s="34">
        <v>5.0</v>
      </c>
      <c r="AU2" s="34">
        <v>1.0</v>
      </c>
      <c r="AV2" s="34">
        <v>1.0</v>
      </c>
      <c r="AW2" s="34">
        <v>1.0</v>
      </c>
      <c r="AX2" s="34">
        <v>1.0</v>
      </c>
      <c r="AY2" s="34">
        <v>1.0</v>
      </c>
      <c r="AZ2" s="34">
        <v>1.0</v>
      </c>
      <c r="BA2" s="34">
        <v>1.0</v>
      </c>
      <c r="BB2" s="34">
        <v>1.0</v>
      </c>
      <c r="BC2" s="34">
        <v>1.0</v>
      </c>
      <c r="BD2" s="34" t="s">
        <v>181</v>
      </c>
      <c r="BE2" s="34" t="s">
        <v>164</v>
      </c>
      <c r="BF2" s="34" t="s">
        <v>165</v>
      </c>
      <c r="BG2" s="34" t="s">
        <v>191</v>
      </c>
      <c r="BH2" s="34" t="s">
        <v>174</v>
      </c>
      <c r="BI2" s="34" t="s">
        <v>192</v>
      </c>
    </row>
    <row r="3">
      <c r="A3" s="34" t="s">
        <v>193</v>
      </c>
      <c r="B3" s="34" t="s">
        <v>194</v>
      </c>
      <c r="C3" s="34" t="s">
        <v>195</v>
      </c>
      <c r="D3" s="34" t="s">
        <v>196</v>
      </c>
      <c r="E3" s="34" t="s">
        <v>197</v>
      </c>
      <c r="F3" s="34" t="s">
        <v>198</v>
      </c>
      <c r="G3" s="34" t="s">
        <v>199</v>
      </c>
      <c r="H3" s="34" t="s">
        <v>199</v>
      </c>
      <c r="I3" s="34" t="s">
        <v>199</v>
      </c>
      <c r="J3" s="34" t="s">
        <v>199</v>
      </c>
      <c r="K3" s="34" t="s">
        <v>200</v>
      </c>
      <c r="L3" s="34" t="s">
        <v>201</v>
      </c>
      <c r="M3" s="34" t="s">
        <v>202</v>
      </c>
      <c r="N3" s="34" t="s">
        <v>203</v>
      </c>
      <c r="O3" s="34" t="s">
        <v>204</v>
      </c>
      <c r="P3" s="34" t="s">
        <v>205</v>
      </c>
      <c r="Q3" s="34" t="s">
        <v>206</v>
      </c>
      <c r="R3" s="34" t="s">
        <v>207</v>
      </c>
      <c r="S3" s="34" t="s">
        <v>208</v>
      </c>
      <c r="T3" s="34" t="s">
        <v>209</v>
      </c>
      <c r="U3" s="34" t="s">
        <v>210</v>
      </c>
      <c r="V3" s="34" t="s">
        <v>211</v>
      </c>
      <c r="W3" s="34" t="s">
        <v>212</v>
      </c>
      <c r="X3" s="34" t="s">
        <v>213</v>
      </c>
      <c r="Y3" s="34" t="s">
        <v>214</v>
      </c>
      <c r="Z3" s="34" t="s">
        <v>215</v>
      </c>
      <c r="AA3" s="34" t="s">
        <v>216</v>
      </c>
      <c r="AB3" s="34" t="s">
        <v>217</v>
      </c>
      <c r="AC3" s="34" t="s">
        <v>218</v>
      </c>
      <c r="AD3" s="34" t="s">
        <v>219</v>
      </c>
      <c r="AE3" s="34" t="s">
        <v>220</v>
      </c>
      <c r="AF3" s="34" t="s">
        <v>221</v>
      </c>
      <c r="AG3" s="34" t="s">
        <v>222</v>
      </c>
      <c r="AI3" s="34" t="s">
        <v>223</v>
      </c>
      <c r="AJ3" s="34" t="s">
        <v>201</v>
      </c>
      <c r="AK3" s="34" t="s">
        <v>193</v>
      </c>
      <c r="AL3" s="34" t="s">
        <v>194</v>
      </c>
      <c r="AM3" s="34" t="s">
        <v>224</v>
      </c>
      <c r="AN3" s="34" t="s">
        <v>225</v>
      </c>
      <c r="AO3" s="34" t="s">
        <v>164</v>
      </c>
      <c r="AP3" s="34" t="s">
        <v>208</v>
      </c>
      <c r="AQ3" s="34" t="s">
        <v>226</v>
      </c>
      <c r="AR3" s="34" t="s">
        <v>227</v>
      </c>
      <c r="AT3" s="34">
        <v>5.0</v>
      </c>
      <c r="AU3" s="34">
        <v>2.0</v>
      </c>
      <c r="AV3" s="34">
        <v>2.0</v>
      </c>
      <c r="AW3" s="34">
        <v>2.0</v>
      </c>
      <c r="AX3" s="34">
        <v>2.0</v>
      </c>
      <c r="AY3" s="34">
        <v>2.0</v>
      </c>
      <c r="AZ3" s="34">
        <v>2.0</v>
      </c>
      <c r="BA3" s="34">
        <v>2.0</v>
      </c>
      <c r="BB3" s="34">
        <v>2.0</v>
      </c>
      <c r="BC3" s="34">
        <v>3.0</v>
      </c>
      <c r="BD3" s="34" t="s">
        <v>228</v>
      </c>
      <c r="BE3" s="34" t="s">
        <v>201</v>
      </c>
      <c r="BF3" s="34" t="s">
        <v>202</v>
      </c>
      <c r="BG3" s="34" t="s">
        <v>229</v>
      </c>
      <c r="BH3" s="34" t="s">
        <v>211</v>
      </c>
      <c r="BI3" s="34" t="s">
        <v>230</v>
      </c>
    </row>
    <row r="4">
      <c r="A4" s="34" t="s">
        <v>231</v>
      </c>
      <c r="B4" s="34" t="s">
        <v>232</v>
      </c>
      <c r="C4" s="34" t="s">
        <v>233</v>
      </c>
      <c r="D4" s="34" t="s">
        <v>234</v>
      </c>
      <c r="E4" s="34" t="s">
        <v>235</v>
      </c>
      <c r="F4" s="34" t="s">
        <v>236</v>
      </c>
      <c r="H4" s="34" t="s">
        <v>237</v>
      </c>
      <c r="I4" s="34" t="s">
        <v>238</v>
      </c>
      <c r="J4" s="34" t="s">
        <v>239</v>
      </c>
      <c r="K4" s="34" t="s">
        <v>240</v>
      </c>
      <c r="L4" s="34" t="s">
        <v>241</v>
      </c>
      <c r="M4" s="34" t="s">
        <v>193</v>
      </c>
      <c r="N4" s="34" t="s">
        <v>242</v>
      </c>
      <c r="O4" s="34" t="s">
        <v>243</v>
      </c>
      <c r="P4" s="34" t="s">
        <v>244</v>
      </c>
      <c r="Q4" s="34" t="s">
        <v>245</v>
      </c>
      <c r="R4" s="34" t="s">
        <v>201</v>
      </c>
      <c r="S4" s="34" t="s">
        <v>246</v>
      </c>
      <c r="T4" s="34" t="s">
        <v>247</v>
      </c>
      <c r="U4" s="34" t="s">
        <v>248</v>
      </c>
      <c r="V4" s="34" t="s">
        <v>249</v>
      </c>
      <c r="W4" s="34" t="s">
        <v>250</v>
      </c>
      <c r="X4" s="34" t="s">
        <v>251</v>
      </c>
      <c r="Y4" s="34" t="s">
        <v>252</v>
      </c>
      <c r="Z4" s="34" t="s">
        <v>251</v>
      </c>
      <c r="AA4" s="34" t="s">
        <v>253</v>
      </c>
      <c r="AB4" s="34" t="s">
        <v>254</v>
      </c>
      <c r="AC4" s="34" t="s">
        <v>255</v>
      </c>
      <c r="AD4" s="34" t="s">
        <v>249</v>
      </c>
      <c r="AE4" s="34" t="s">
        <v>256</v>
      </c>
      <c r="AF4" s="34" t="s">
        <v>257</v>
      </c>
      <c r="AG4" s="34" t="s">
        <v>258</v>
      </c>
      <c r="AI4" s="34" t="s">
        <v>259</v>
      </c>
      <c r="AJ4" s="34" t="s">
        <v>241</v>
      </c>
      <c r="AK4" s="34" t="s">
        <v>231</v>
      </c>
      <c r="AL4" s="34" t="s">
        <v>232</v>
      </c>
      <c r="AM4" s="34" t="s">
        <v>260</v>
      </c>
      <c r="AN4" s="34" t="s">
        <v>261</v>
      </c>
      <c r="AO4" s="34" t="s">
        <v>201</v>
      </c>
      <c r="AP4" s="34" t="s">
        <v>246</v>
      </c>
      <c r="AQ4" s="34" t="s">
        <v>262</v>
      </c>
      <c r="AR4" s="34" t="s">
        <v>248</v>
      </c>
      <c r="AT4" s="34">
        <v>4.0</v>
      </c>
      <c r="AU4" s="34">
        <v>3.0</v>
      </c>
      <c r="AV4" s="34">
        <v>3.0</v>
      </c>
      <c r="AW4" s="34">
        <v>3.0</v>
      </c>
      <c r="AX4" s="34">
        <v>3.0</v>
      </c>
      <c r="AY4" s="34">
        <v>3.0</v>
      </c>
      <c r="AZ4" s="34">
        <v>3.0</v>
      </c>
      <c r="BA4" s="34">
        <v>3.0</v>
      </c>
      <c r="BB4" s="34">
        <v>3.0</v>
      </c>
      <c r="BC4" s="34">
        <v>5.0</v>
      </c>
      <c r="BD4" s="34" t="s">
        <v>249</v>
      </c>
      <c r="BE4" s="34" t="s">
        <v>241</v>
      </c>
      <c r="BF4" s="34" t="s">
        <v>193</v>
      </c>
      <c r="BG4" s="34" t="s">
        <v>263</v>
      </c>
      <c r="BH4" s="34" t="s">
        <v>249</v>
      </c>
      <c r="BI4" s="34" t="s">
        <v>264</v>
      </c>
    </row>
    <row r="5">
      <c r="A5" s="34" t="s">
        <v>194</v>
      </c>
      <c r="B5" s="34" t="s">
        <v>265</v>
      </c>
      <c r="C5" s="34" t="s">
        <v>266</v>
      </c>
      <c r="D5" s="34" t="s">
        <v>267</v>
      </c>
      <c r="E5" s="34" t="s">
        <v>268</v>
      </c>
      <c r="F5" s="34" t="s">
        <v>269</v>
      </c>
      <c r="K5" s="34" t="s">
        <v>270</v>
      </c>
      <c r="L5" s="34" t="s">
        <v>271</v>
      </c>
      <c r="M5" s="34" t="s">
        <v>231</v>
      </c>
      <c r="N5" s="34" t="s">
        <v>272</v>
      </c>
      <c r="O5" s="34" t="s">
        <v>199</v>
      </c>
      <c r="P5" s="34" t="s">
        <v>273</v>
      </c>
      <c r="Q5" s="34" t="s">
        <v>274</v>
      </c>
      <c r="R5" s="34" t="s">
        <v>241</v>
      </c>
      <c r="S5" s="34" t="s">
        <v>275</v>
      </c>
      <c r="T5" s="34" t="s">
        <v>276</v>
      </c>
      <c r="V5" s="34" t="s">
        <v>277</v>
      </c>
      <c r="Y5" s="34" t="s">
        <v>278</v>
      </c>
      <c r="AB5" s="34" t="s">
        <v>279</v>
      </c>
      <c r="AC5" s="34" t="s">
        <v>280</v>
      </c>
      <c r="AD5" s="34" t="s">
        <v>281</v>
      </c>
      <c r="AE5" s="34" t="s">
        <v>282</v>
      </c>
      <c r="AF5" s="34" t="s">
        <v>283</v>
      </c>
      <c r="AG5" s="34" t="s">
        <v>284</v>
      </c>
      <c r="AI5" s="34" t="s">
        <v>285</v>
      </c>
      <c r="AJ5" s="34" t="s">
        <v>271</v>
      </c>
      <c r="AK5" s="34" t="s">
        <v>194</v>
      </c>
      <c r="AL5" s="34" t="s">
        <v>265</v>
      </c>
      <c r="AM5" s="34" t="s">
        <v>286</v>
      </c>
      <c r="AN5" s="34" t="s">
        <v>287</v>
      </c>
      <c r="AO5" s="34" t="s">
        <v>241</v>
      </c>
      <c r="AP5" s="34" t="s">
        <v>275</v>
      </c>
      <c r="AQ5" s="34" t="s">
        <v>201</v>
      </c>
      <c r="AT5" s="34">
        <v>3.0</v>
      </c>
      <c r="AU5" s="34">
        <v>4.0</v>
      </c>
      <c r="AV5" s="34">
        <v>4.0</v>
      </c>
      <c r="AW5" s="34">
        <v>4.0</v>
      </c>
      <c r="AX5" s="34">
        <v>4.0</v>
      </c>
      <c r="AY5" s="34">
        <v>4.0</v>
      </c>
      <c r="AZ5" s="34">
        <v>4.0</v>
      </c>
      <c r="BA5" s="34">
        <v>4.0</v>
      </c>
      <c r="BB5" s="34">
        <v>4.0</v>
      </c>
      <c r="BD5" s="34" t="s">
        <v>288</v>
      </c>
      <c r="BE5" s="34" t="s">
        <v>271</v>
      </c>
      <c r="BF5" s="34" t="s">
        <v>231</v>
      </c>
      <c r="BG5" s="34" t="s">
        <v>289</v>
      </c>
      <c r="BH5" s="34" t="s">
        <v>277</v>
      </c>
      <c r="BI5" s="34" t="s">
        <v>290</v>
      </c>
    </row>
    <row r="6">
      <c r="A6" s="34" t="s">
        <v>232</v>
      </c>
      <c r="B6" s="34" t="s">
        <v>291</v>
      </c>
      <c r="C6" s="34" t="s">
        <v>292</v>
      </c>
      <c r="F6" s="34" t="s">
        <v>293</v>
      </c>
      <c r="K6" s="34" t="s">
        <v>294</v>
      </c>
      <c r="L6" s="34" t="s">
        <v>295</v>
      </c>
      <c r="M6" s="34" t="s">
        <v>194</v>
      </c>
      <c r="P6" s="34" t="s">
        <v>296</v>
      </c>
      <c r="Q6" s="34" t="s">
        <v>297</v>
      </c>
      <c r="R6" s="34" t="s">
        <v>298</v>
      </c>
      <c r="S6" s="34" t="s">
        <v>299</v>
      </c>
      <c r="T6" s="34" t="s">
        <v>300</v>
      </c>
      <c r="V6" s="34" t="s">
        <v>301</v>
      </c>
      <c r="AB6" s="34" t="s">
        <v>302</v>
      </c>
      <c r="AD6" s="34" t="s">
        <v>303</v>
      </c>
      <c r="AE6" s="34" t="s">
        <v>304</v>
      </c>
      <c r="AG6" s="34" t="s">
        <v>305</v>
      </c>
      <c r="AI6" s="34" t="s">
        <v>306</v>
      </c>
      <c r="AJ6" s="34" t="s">
        <v>295</v>
      </c>
      <c r="AK6" s="34" t="s">
        <v>307</v>
      </c>
      <c r="AL6" s="34" t="s">
        <v>308</v>
      </c>
      <c r="AM6" s="34" t="s">
        <v>309</v>
      </c>
      <c r="AN6" s="34" t="s">
        <v>310</v>
      </c>
      <c r="AO6" s="34" t="s">
        <v>298</v>
      </c>
      <c r="AP6" s="34" t="s">
        <v>299</v>
      </c>
      <c r="AQ6" s="34" t="s">
        <v>311</v>
      </c>
      <c r="AT6" s="34">
        <v>2.0</v>
      </c>
      <c r="AU6" s="34">
        <v>5.0</v>
      </c>
      <c r="AV6" s="34">
        <v>5.0</v>
      </c>
      <c r="AW6" s="34">
        <v>5.0</v>
      </c>
      <c r="AX6" s="34">
        <v>5.0</v>
      </c>
      <c r="AY6" s="34">
        <v>5.0</v>
      </c>
      <c r="AZ6" s="34">
        <v>5.0</v>
      </c>
      <c r="BA6" s="34">
        <v>5.0</v>
      </c>
      <c r="BB6" s="34">
        <v>5.0</v>
      </c>
      <c r="BD6" s="34" t="s">
        <v>303</v>
      </c>
      <c r="BE6" s="34" t="s">
        <v>295</v>
      </c>
      <c r="BF6" s="34" t="s">
        <v>194</v>
      </c>
      <c r="BH6" s="34" t="s">
        <v>301</v>
      </c>
    </row>
    <row r="7">
      <c r="A7" s="34" t="s">
        <v>312</v>
      </c>
      <c r="B7" s="34" t="s">
        <v>313</v>
      </c>
      <c r="C7" s="34" t="s">
        <v>304</v>
      </c>
      <c r="F7" s="34" t="s">
        <v>314</v>
      </c>
      <c r="K7" s="34" t="s">
        <v>315</v>
      </c>
      <c r="M7" s="34" t="s">
        <v>232</v>
      </c>
      <c r="AD7" s="34" t="s">
        <v>316</v>
      </c>
      <c r="AG7" s="34" t="s">
        <v>317</v>
      </c>
      <c r="AI7" s="34" t="s">
        <v>318</v>
      </c>
      <c r="AT7" s="34">
        <v>1.0</v>
      </c>
      <c r="BD7" s="34" t="s">
        <v>316</v>
      </c>
      <c r="BF7" s="34" t="s">
        <v>232</v>
      </c>
    </row>
    <row r="8">
      <c r="K8" s="34" t="s">
        <v>319</v>
      </c>
      <c r="M8" s="34" t="s">
        <v>312</v>
      </c>
      <c r="BF8" s="34" t="s">
        <v>312</v>
      </c>
    </row>
    <row r="9">
      <c r="K9" s="34" t="s">
        <v>320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30.0"/>
    <col customWidth="1" min="3" max="3" width="28.0"/>
    <col customWidth="1" min="4" max="4" width="29.14"/>
    <col customWidth="1" min="5" max="5" width="21.43"/>
    <col customWidth="1" min="6" max="6" width="32.14"/>
    <col customWidth="1" min="7" max="7" width="2.43"/>
    <col customWidth="1" min="8" max="26" width="8.71"/>
  </cols>
  <sheetData>
    <row r="1" ht="7.5" customHeight="1"/>
    <row r="2" ht="48.0" customHeight="1">
      <c r="B2" s="1" t="s">
        <v>321</v>
      </c>
      <c r="C2" s="2"/>
      <c r="D2" s="2"/>
      <c r="E2" s="2"/>
      <c r="F2" s="3"/>
    </row>
    <row r="3" ht="19.5" customHeight="1">
      <c r="B3" s="4" t="s">
        <v>322</v>
      </c>
      <c r="C3" s="2"/>
      <c r="D3" s="2"/>
      <c r="E3" s="2"/>
      <c r="F3" s="3"/>
    </row>
    <row r="4" ht="7.5" customHeight="1"/>
    <row r="5" ht="36.0" customHeight="1">
      <c r="B5" s="35" t="s">
        <v>323</v>
      </c>
      <c r="C5" s="35" t="s">
        <v>324</v>
      </c>
      <c r="D5" s="35" t="s">
        <v>325</v>
      </c>
      <c r="E5" s="35" t="s">
        <v>326</v>
      </c>
      <c r="F5" s="35" t="s">
        <v>327</v>
      </c>
    </row>
    <row r="6" ht="30.0" customHeight="1">
      <c r="B6" s="36" t="s">
        <v>328</v>
      </c>
      <c r="C6" s="37" t="s">
        <v>223</v>
      </c>
      <c r="D6" s="38">
        <f t="array" ref="D6">IFERROR(INDEX('_Lists'!$AT$2:$AT$7,MATCH(C6,'_Lists'!$AI$2:$AI$7,0)),"")</f>
        <v>5</v>
      </c>
      <c r="E6" s="39">
        <v>5.0</v>
      </c>
      <c r="F6" s="39" t="s">
        <v>236</v>
      </c>
    </row>
    <row r="7" ht="30.0" customHeight="1">
      <c r="B7" s="40" t="s">
        <v>329</v>
      </c>
      <c r="C7" s="37" t="s">
        <v>241</v>
      </c>
      <c r="D7" s="38">
        <f t="array" ref="D7">IFERROR(INDEX('_Lists'!$AU$2:$AU$6,MATCH(C7,'_Lists'!$AJ$2:$AJ$6,0)),"")</f>
        <v>3</v>
      </c>
      <c r="E7" s="41">
        <v>5.0</v>
      </c>
      <c r="F7" s="41" t="s">
        <v>236</v>
      </c>
    </row>
    <row r="8" ht="30.0" customHeight="1">
      <c r="B8" s="36" t="s">
        <v>330</v>
      </c>
      <c r="C8" s="37" t="s">
        <v>194</v>
      </c>
      <c r="D8" s="38">
        <f t="array" ref="D8">IFERROR(INDEX('_Lists'!$AV$2:$AV$6,MATCH(C8,'_Lists'!$AK$2:$AK$6,0)),"")</f>
        <v>4</v>
      </c>
      <c r="E8" s="39">
        <v>5.0</v>
      </c>
      <c r="F8" s="39" t="s">
        <v>236</v>
      </c>
    </row>
    <row r="9" ht="30.0" customHeight="1">
      <c r="B9" s="40" t="s">
        <v>331</v>
      </c>
      <c r="C9" s="37" t="s">
        <v>157</v>
      </c>
      <c r="D9" s="38">
        <f t="array" ref="D9">IFERROR(INDEX('_Lists'!$AW$2:$AW$6,MATCH(C9,'_Lists'!$AL$2:$AL$6,0)),"")</f>
        <v>1</v>
      </c>
      <c r="E9" s="41">
        <v>5.0</v>
      </c>
      <c r="F9" s="41" t="s">
        <v>236</v>
      </c>
    </row>
    <row r="10" ht="30.0" customHeight="1">
      <c r="B10" s="36" t="s">
        <v>332</v>
      </c>
      <c r="C10" s="37" t="s">
        <v>186</v>
      </c>
      <c r="D10" s="38">
        <f t="array" ref="D10">IFERROR(INDEX('_Lists'!$AX$2:$AX$6,MATCH(C10,'_Lists'!$AM$2:$AM$6,0)),"")</f>
        <v>1</v>
      </c>
      <c r="E10" s="39">
        <v>5.0</v>
      </c>
      <c r="F10" s="39" t="s">
        <v>236</v>
      </c>
    </row>
    <row r="11" ht="30.0" customHeight="1">
      <c r="B11" s="40" t="s">
        <v>333</v>
      </c>
      <c r="C11" s="37" t="s">
        <v>225</v>
      </c>
      <c r="D11" s="38">
        <f t="array" ref="D11">IFERROR(INDEX('_Lists'!$AY$2:$AY$6,MATCH(C11,'_Lists'!$AN$2:$AN$6,0)),"")</f>
        <v>2</v>
      </c>
      <c r="E11" s="41">
        <v>5.0</v>
      </c>
      <c r="F11" s="41" t="s">
        <v>236</v>
      </c>
    </row>
    <row r="12" ht="30.0" customHeight="1">
      <c r="B12" s="36" t="s">
        <v>334</v>
      </c>
      <c r="C12" s="37" t="s">
        <v>164</v>
      </c>
      <c r="D12" s="38">
        <f t="array" ref="D12">IFERROR(INDEX('_Lists'!$AZ$2:$AZ$6,MATCH(C12,'_Lists'!$AO$2:$AO$6,0)),"")</f>
        <v>2</v>
      </c>
      <c r="E12" s="39">
        <v>5.0</v>
      </c>
      <c r="F12" s="39" t="s">
        <v>236</v>
      </c>
    </row>
    <row r="13" ht="30.0" customHeight="1">
      <c r="B13" s="40" t="s">
        <v>335</v>
      </c>
      <c r="C13" s="37" t="s">
        <v>208</v>
      </c>
      <c r="D13" s="38">
        <f t="array" ref="D13">IFERROR(INDEX('_Lists'!$BA$2:$BA$6,MATCH(C13,'_Lists'!$AP$2:$AP$6,0)),"")</f>
        <v>2</v>
      </c>
      <c r="E13" s="41">
        <v>5.0</v>
      </c>
      <c r="F13" s="41" t="s">
        <v>236</v>
      </c>
    </row>
    <row r="14" ht="30.0" customHeight="1">
      <c r="B14" s="36" t="s">
        <v>336</v>
      </c>
      <c r="C14" s="37" t="s">
        <v>226</v>
      </c>
      <c r="D14" s="38">
        <f t="array" ref="D14">IFERROR(INDEX('_Lists'!$BB$2:$BB$6,MATCH(C14,'_Lists'!$AQ$2:$AQ$6,0)),"")</f>
        <v>2</v>
      </c>
      <c r="E14" s="39">
        <v>5.0</v>
      </c>
      <c r="F14" s="39" t="s">
        <v>236</v>
      </c>
    </row>
    <row r="15" ht="30.0" customHeight="1">
      <c r="B15" s="40" t="s">
        <v>337</v>
      </c>
      <c r="C15" s="37" t="s">
        <v>227</v>
      </c>
      <c r="D15" s="38">
        <f t="array" ref="D15">IFERROR(INDEX('_Lists'!$BC$2:$BC$4,MATCH(C15,'_Lists'!$AR$2:$AR$4,0)),"")</f>
        <v>3</v>
      </c>
      <c r="E15" s="41">
        <v>5.0</v>
      </c>
      <c r="F15" s="41" t="s">
        <v>236</v>
      </c>
    </row>
    <row r="16" ht="31.5" customHeight="1">
      <c r="B16" s="42" t="s">
        <v>338</v>
      </c>
      <c r="C16" s="15"/>
      <c r="D16" s="43">
        <f>IFERROR(SUM(D6:D15),"")</f>
        <v>25</v>
      </c>
      <c r="E16" s="44">
        <v>50.0</v>
      </c>
    </row>
    <row r="17" ht="27.75" customHeight="1">
      <c r="B17" s="45" t="s">
        <v>339</v>
      </c>
      <c r="C17" s="8"/>
      <c r="D17" s="46" t="str">
        <f>IF(D16="","",IF(D16&lt;=17,"Conservative",IF(D16&lt;=25,"Moderately Conservative",IF(D16&lt;=33,"Moderate",IF(D16&lt;=40,"Moderately Aggressive",IF(D16&lt;=47,"Aggressive","Very Aggressive"))))))</f>
        <v>Moderately Conservative</v>
      </c>
      <c r="E17" s="10"/>
      <c r="F17" s="47"/>
    </row>
    <row r="19" ht="19.5" customHeight="1">
      <c r="B19" s="48" t="s">
        <v>340</v>
      </c>
      <c r="C19" s="2"/>
      <c r="D19" s="2"/>
      <c r="E19" s="2"/>
      <c r="F19" s="3"/>
    </row>
    <row r="20" ht="18.0" customHeight="1">
      <c r="B20" s="49" t="s">
        <v>325</v>
      </c>
      <c r="C20" s="49" t="s">
        <v>341</v>
      </c>
      <c r="D20" s="49" t="s">
        <v>342</v>
      </c>
      <c r="E20" s="49"/>
      <c r="F20" s="49"/>
      <c r="G20" s="49"/>
    </row>
    <row r="21" ht="21.75" customHeight="1">
      <c r="B21" s="50" t="s">
        <v>343</v>
      </c>
      <c r="C21" s="51" t="s">
        <v>181</v>
      </c>
      <c r="D21" s="52" t="s">
        <v>344</v>
      </c>
      <c r="E21" s="10"/>
      <c r="F21" s="47"/>
    </row>
    <row r="22" ht="21.75" customHeight="1">
      <c r="B22" s="53" t="s">
        <v>185</v>
      </c>
      <c r="C22" s="54" t="s">
        <v>228</v>
      </c>
      <c r="D22" s="55" t="s">
        <v>345</v>
      </c>
      <c r="E22" s="10"/>
      <c r="F22" s="47"/>
    </row>
    <row r="23" ht="21.75" customHeight="1">
      <c r="B23" s="56" t="s">
        <v>346</v>
      </c>
      <c r="C23" s="57" t="s">
        <v>249</v>
      </c>
      <c r="D23" s="58" t="s">
        <v>347</v>
      </c>
      <c r="E23" s="10"/>
      <c r="F23" s="47"/>
    </row>
    <row r="24" ht="21.75" customHeight="1">
      <c r="B24" s="59" t="s">
        <v>348</v>
      </c>
      <c r="C24" s="60" t="s">
        <v>288</v>
      </c>
      <c r="D24" s="61" t="s">
        <v>349</v>
      </c>
      <c r="E24" s="10"/>
      <c r="F24" s="47"/>
    </row>
    <row r="25" ht="21.75" customHeight="1">
      <c r="B25" s="62" t="s">
        <v>350</v>
      </c>
      <c r="C25" s="63" t="s">
        <v>303</v>
      </c>
      <c r="D25" s="64" t="s">
        <v>351</v>
      </c>
      <c r="E25" s="10"/>
      <c r="F25" s="47"/>
    </row>
    <row r="26" ht="21.75" customHeight="1">
      <c r="B26" s="65" t="s">
        <v>352</v>
      </c>
      <c r="C26" s="66" t="s">
        <v>316</v>
      </c>
      <c r="D26" s="67" t="s">
        <v>353</v>
      </c>
      <c r="E26" s="10"/>
      <c r="F26" s="47"/>
    </row>
    <row r="27" ht="15.75" customHeight="1"/>
    <row r="28" ht="15.75" customHeight="1">
      <c r="B28" s="68" t="s">
        <v>354</v>
      </c>
      <c r="C28" s="2"/>
      <c r="D28" s="2"/>
      <c r="E28" s="2"/>
      <c r="F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22:F22"/>
    <mergeCell ref="D23:F23"/>
    <mergeCell ref="D24:F24"/>
    <mergeCell ref="D25:F25"/>
    <mergeCell ref="D26:F26"/>
    <mergeCell ref="B28:F28"/>
    <mergeCell ref="B2:F2"/>
    <mergeCell ref="B3:F3"/>
    <mergeCell ref="B16:C16"/>
    <mergeCell ref="B17:C17"/>
    <mergeCell ref="D17:F17"/>
    <mergeCell ref="B19:F19"/>
    <mergeCell ref="D21:F21"/>
  </mergeCells>
  <dataValidations>
    <dataValidation type="list" allowBlank="1" showInputMessage="1" showErrorMessage="1" prompt="Select - Select client's response" sqref="C7">
      <formula1>'_Lists'!$AJ$2:$AJ$6</formula1>
    </dataValidation>
    <dataValidation type="list" allowBlank="1" showInputMessage="1" showErrorMessage="1" prompt="Select - Select client's response" sqref="C13">
      <formula1>'_Lists'!$AP$2:$AP$6</formula1>
    </dataValidation>
    <dataValidation type="list" allowBlank="1" showInputMessage="1" showErrorMessage="1" prompt="Select - Select client's response" sqref="C11">
      <formula1>'_Lists'!$AN$2:$AN$6</formula1>
    </dataValidation>
    <dataValidation type="list" allowBlank="1" showInputMessage="1" showErrorMessage="1" prompt="Select - Select client's response" sqref="C6">
      <formula1>'_Lists'!$AI$2:$AI$7</formula1>
    </dataValidation>
    <dataValidation type="list" allowBlank="1" showInputMessage="1" showErrorMessage="1" prompt="Select - Select client's response" sqref="C8">
      <formula1>'_Lists'!$AK$2:$AK$6</formula1>
    </dataValidation>
    <dataValidation type="list" allowBlank="1" showInputMessage="1" showErrorMessage="1" prompt="Select - Select client's response" sqref="C14">
      <formula1>'_Lists'!$AQ$2:$AQ$6</formula1>
    </dataValidation>
    <dataValidation type="list" allowBlank="1" showInputMessage="1" showErrorMessage="1" prompt="Select - Select client's response" sqref="C15">
      <formula1>'_Lists'!$AR$2:$AR$4</formula1>
    </dataValidation>
    <dataValidation type="list" allowBlank="1" showInputMessage="1" showErrorMessage="1" prompt="Select - Select client's response" sqref="C9">
      <formula1>'_Lists'!$AL$2:$AL$6</formula1>
    </dataValidation>
    <dataValidation type="list" allowBlank="1" showInputMessage="1" showErrorMessage="1" prompt="Select - Select client's response" sqref="C10">
      <formula1>'_Lists'!$AM$2:$AM$6</formula1>
    </dataValidation>
    <dataValidation type="list" allowBlank="1" showInputMessage="1" showErrorMessage="1" prompt="Select - Select client's response" sqref="C12">
      <formula1>'_Lists'!$AO$2:$AO$6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28.0"/>
    <col customWidth="1" min="3" max="3" width="18.0"/>
    <col customWidth="1" min="4" max="9" width="14.0"/>
    <col customWidth="1" min="10" max="26" width="8.71"/>
  </cols>
  <sheetData>
    <row r="1" ht="7.5" customHeight="1"/>
    <row r="2" ht="48.0" customHeight="1">
      <c r="B2" s="1" t="s">
        <v>355</v>
      </c>
      <c r="C2" s="2"/>
      <c r="D2" s="2"/>
      <c r="E2" s="2"/>
      <c r="F2" s="2"/>
      <c r="G2" s="2"/>
      <c r="H2" s="2"/>
      <c r="I2" s="3"/>
    </row>
    <row r="3" ht="19.5" customHeight="1">
      <c r="B3" s="4" t="s">
        <v>356</v>
      </c>
      <c r="C3" s="2"/>
      <c r="D3" s="2"/>
      <c r="E3" s="2"/>
      <c r="F3" s="2"/>
      <c r="G3" s="2"/>
      <c r="H3" s="2"/>
      <c r="I3" s="3"/>
    </row>
    <row r="4" ht="7.5" customHeight="1"/>
    <row r="5" ht="19.5" customHeight="1">
      <c r="B5" s="69" t="s">
        <v>357</v>
      </c>
      <c r="C5" s="2"/>
      <c r="D5" s="2"/>
      <c r="E5" s="2"/>
      <c r="F5" s="2"/>
      <c r="G5" s="2"/>
      <c r="H5" s="2"/>
      <c r="I5" s="3"/>
    </row>
    <row r="6" ht="24.0" customHeight="1">
      <c r="B6" s="70" t="s">
        <v>150</v>
      </c>
      <c r="C6" s="71" t="s">
        <v>228</v>
      </c>
      <c r="D6" s="14"/>
      <c r="E6" s="15"/>
    </row>
    <row r="7" ht="24.0" customHeight="1">
      <c r="B7" s="70" t="s">
        <v>151</v>
      </c>
      <c r="C7" s="71" t="s">
        <v>201</v>
      </c>
      <c r="D7" s="14"/>
      <c r="E7" s="15"/>
    </row>
    <row r="8" ht="24.0" customHeight="1">
      <c r="B8" s="70" t="s">
        <v>152</v>
      </c>
      <c r="C8" s="71" t="s">
        <v>202</v>
      </c>
      <c r="D8" s="14"/>
      <c r="E8" s="15"/>
    </row>
    <row r="9" ht="24.0" customHeight="1">
      <c r="B9" s="70" t="s">
        <v>153</v>
      </c>
      <c r="C9" s="71" t="s">
        <v>229</v>
      </c>
      <c r="D9" s="14"/>
      <c r="E9" s="15"/>
    </row>
    <row r="10" ht="24.0" customHeight="1">
      <c r="B10" s="70" t="s">
        <v>154</v>
      </c>
      <c r="C10" s="71" t="s">
        <v>174</v>
      </c>
      <c r="D10" s="14"/>
      <c r="E10" s="15"/>
    </row>
    <row r="11" ht="24.0" customHeight="1">
      <c r="B11" s="70" t="s">
        <v>155</v>
      </c>
      <c r="C11" s="71" t="s">
        <v>230</v>
      </c>
      <c r="D11" s="14"/>
      <c r="E11" s="15"/>
    </row>
    <row r="13" ht="7.5" customHeight="1"/>
    <row r="14" ht="19.5" customHeight="1">
      <c r="B14" s="72" t="s">
        <v>358</v>
      </c>
      <c r="C14" s="2"/>
      <c r="D14" s="2"/>
      <c r="E14" s="2"/>
      <c r="F14" s="2"/>
      <c r="G14" s="2"/>
      <c r="H14" s="2"/>
      <c r="I14" s="3"/>
    </row>
    <row r="15" ht="42.0" customHeight="1">
      <c r="B15" s="73" t="s">
        <v>359</v>
      </c>
      <c r="C15" s="35" t="s">
        <v>360</v>
      </c>
      <c r="D15" s="74" t="s">
        <v>361</v>
      </c>
      <c r="E15" s="75" t="s">
        <v>362</v>
      </c>
      <c r="F15" s="76" t="s">
        <v>363</v>
      </c>
      <c r="G15" s="77" t="s">
        <v>364</v>
      </c>
      <c r="H15" s="78" t="s">
        <v>365</v>
      </c>
    </row>
    <row r="16" ht="25.5" customHeight="1">
      <c r="B16" s="36" t="s">
        <v>366</v>
      </c>
      <c r="C16" s="79" t="str">
        <f>IF(C6="","—",IF(OR(C6="Conservative",C6="Mod. Conservative",C6="Moderate",C6="Mod. Aggressive",C6="Aggressive",C6="Very Aggressive"),"✅","❌"))</f>
        <v>✅</v>
      </c>
      <c r="D16" s="79" t="str">
        <f>IF(C6="","—",IF(OR(C6="Mod. Aggressive",C6="Aggressive",C6="Very Aggressive"),"✅",IF(OR(C6="Moderate"),"⚠","❌")))</f>
        <v>❌</v>
      </c>
      <c r="E16" s="79" t="str">
        <f>IF(C6="","—",IF(OR(C6="Conservative",C6="Mod. Conservative",C6="Moderate"),"✅","⚠"))</f>
        <v>✅</v>
      </c>
      <c r="F16" s="79" t="str">
        <f>IF(C6="","—",IF(OR(C6="Mod. Aggressive",C6="Aggressive",C6="Very Aggressive"),"✅",IF(C6="Moderate","⚠","❌")))</f>
        <v>❌</v>
      </c>
      <c r="G16" s="79" t="str">
        <f>IF(C6="","—",IF(OR(C6="Aggressive",C6="Very Aggressive"),"✅",IF(C6="Mod. Aggressive","⚠","❌")))</f>
        <v>❌</v>
      </c>
      <c r="H16" s="79" t="str">
        <f>IF(C6="","—",IF(OR(C6="Mod. Aggressive",C6="Aggressive",C6="Very Aggressive"),"✅",IF(C6="Moderate","⚠","❌")))</f>
        <v>❌</v>
      </c>
    </row>
    <row r="17" ht="25.5" customHeight="1">
      <c r="B17" s="40" t="s">
        <v>367</v>
      </c>
      <c r="C17" s="79" t="str">
        <f t="shared" ref="C17:C19" si="1">IF(C7="","—","✅")</f>
        <v>✅</v>
      </c>
      <c r="D17" s="79" t="str">
        <f>IF(C7="","—",IF(OR(C7="3–5 Years",C7="5–10 Years",C7="&gt; 10 Years"),"✅",IF(C7="1–3 Years","⚠","❌")))</f>
        <v>⚠</v>
      </c>
      <c r="E17" s="79" t="str">
        <f>IF(C7="","—",IF(OR(C7="5–10 Years",C7="&gt; 10 Years"),"✅",IF(C7="3–5 Years","⚠","❌")))</f>
        <v>❌</v>
      </c>
      <c r="F17" s="79" t="str">
        <f>IF(C7="","—",IF(OR(C7="3–5 Years",C7="5–10 Years",C7="&gt; 10 Years"),"✅",IF(C7="1–3 Years","⚠","❌")))</f>
        <v>⚠</v>
      </c>
      <c r="G17" s="79" t="str">
        <f>IF(C7="","—",IF(OR(C7="5–10 Years",C7="&gt; 10 Years"),"✅",IF(C7="3–5 Years","⚠","❌")))</f>
        <v>❌</v>
      </c>
      <c r="H17" s="79" t="str">
        <f>IF(C7="","—",IF(OR(C7="3–5 Years",C7="5–10 Years",C7="&gt; 10 Years"),"✅","⚠"))</f>
        <v>⚠</v>
      </c>
    </row>
    <row r="18" ht="25.5" customHeight="1">
      <c r="B18" s="80" t="s">
        <v>368</v>
      </c>
      <c r="C18" s="79" t="str">
        <f t="shared" si="1"/>
        <v>✅</v>
      </c>
      <c r="D18" s="79" t="str">
        <f>IF(C8="","—",IF(OR(C8="₹1–5 Lakhs",C8="₹5–10 Lakhs",C8="₹10–25 Lakhs",C8="₹25–50 Lakhs",C8="₹50L–1 Crore",C8="&gt; ₹1 Crore"),"✅","⚠"))</f>
        <v>✅</v>
      </c>
      <c r="E18" s="79" t="str">
        <f>IF(C8="","—","✅")</f>
        <v>✅</v>
      </c>
      <c r="F18" s="79" t="str">
        <f>IF(C8="","—",IF(OR(C8="₹25–50 Lakhs",C8="₹50L–1 Crore",C8="&gt; ₹1 Crore"),"✅",IF(C8="₹10–25 Lakhs","⚠","❌")))</f>
        <v>❌</v>
      </c>
      <c r="G18" s="79" t="str">
        <f>IF(C8="","—",IF(C8="&gt; ₹1 Crore","✅",IF(C8="₹50L–1 Crore","⚠","❌")))</f>
        <v>❌</v>
      </c>
      <c r="H18" s="79" t="str">
        <f>IF(C8="","—",IF(OR(C8="₹10–25 Lakhs",C8="₹25–50 Lakhs",C8="₹50L–1 Crore",C8="&gt; ₹1 Crore"),"✅",IF(C8="₹5–10 Lakhs","⚠","❌")))</f>
        <v>❌</v>
      </c>
    </row>
    <row r="19" ht="25.5" customHeight="1">
      <c r="B19" s="40" t="s">
        <v>369</v>
      </c>
      <c r="C19" s="79" t="str">
        <f t="shared" si="1"/>
        <v>✅</v>
      </c>
      <c r="D19" s="79" t="str">
        <f>IF(C9="","—",IF(OR(C9="Moderate (1–3 Months)",C9="Low (3Y+ OK)",C9="Very Low (5Y+ OK)"),"✅","⚠"))</f>
        <v>✅</v>
      </c>
      <c r="E19" s="79" t="str">
        <f>IF(C9="","—",IF(OR(C9="Low (3Y+ OK)",C9="Very Low (5Y+ OK)"),"✅",IF(C9="Moderate (1–3 Months)","⚠","❌")))</f>
        <v>⚠</v>
      </c>
      <c r="F19" s="79" t="str">
        <f>IF(C9="","—",IF(OR(C9="Low (3Y+ OK)",C9="Very Low (5Y+ OK)"),"✅",IF(C9="Moderate (1–3 Months)","⚠","❌")))</f>
        <v>⚠</v>
      </c>
      <c r="G19" s="79" t="str">
        <f>IF(C9="","—",IF(C9="Very Low (5Y+ OK)","✅",IF(C9="Low (3Y+ OK)","⚠","❌")))</f>
        <v>❌</v>
      </c>
      <c r="H19" s="79" t="str">
        <f>IF(C9="","—",IF(OR(C9="Low (3Y+ OK)",C9="Very Low (5Y+ OK)"),"✅","⚠"))</f>
        <v>⚠</v>
      </c>
    </row>
    <row r="21" ht="24.0" customHeight="1">
      <c r="B21" s="81" t="s">
        <v>370</v>
      </c>
      <c r="C21" s="10"/>
      <c r="D21" s="10"/>
      <c r="E21" s="10"/>
      <c r="F21" s="10"/>
      <c r="G21" s="10"/>
      <c r="H21" s="10"/>
      <c r="I21" s="8"/>
    </row>
    <row r="22" ht="15.75" customHeight="1">
      <c r="B22" s="68" t="s">
        <v>371</v>
      </c>
      <c r="C22" s="2"/>
      <c r="D22" s="2"/>
      <c r="E22" s="2"/>
      <c r="F22" s="2"/>
      <c r="G22" s="2"/>
      <c r="H22" s="2"/>
      <c r="I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0:E10"/>
    <mergeCell ref="C11:E11"/>
    <mergeCell ref="B14:I14"/>
    <mergeCell ref="B21:I21"/>
    <mergeCell ref="B22:I22"/>
    <mergeCell ref="B2:I2"/>
    <mergeCell ref="B3:I3"/>
    <mergeCell ref="B5:I5"/>
    <mergeCell ref="C6:E6"/>
    <mergeCell ref="C7:E7"/>
    <mergeCell ref="C8:E8"/>
    <mergeCell ref="C9:E9"/>
  </mergeCells>
  <dataValidations>
    <dataValidation type="list" allowBlank="1" showInputMessage="1" showErrorMessage="1" prompt="Select - Select Liquidity Need:" sqref="C9">
      <formula1>'_Lists'!$BG$2:$BG$5</formula1>
    </dataValidation>
    <dataValidation type="list" allowBlank="1" showInputMessage="1" showErrorMessage="1" prompt="Select - Select Risk Profile:" sqref="C6">
      <formula1>'_Lists'!$BD$2:$BD$7</formula1>
    </dataValidation>
    <dataValidation type="list" allowBlank="1" showInputMessage="1" showErrorMessage="1" prompt="Select - Select Tax Saving Priority:" sqref="C10">
      <formula1>'_Lists'!$BH$2:$BH$6</formula1>
    </dataValidation>
    <dataValidation type="list" allowBlank="1" showInputMessage="1" showErrorMessage="1" prompt="Select - Select Investor Category:" sqref="C11">
      <formula1>'_Lists'!$BI$2:$BI$5</formula1>
    </dataValidation>
    <dataValidation type="list" allowBlank="1" showInputMessage="1" showErrorMessage="1" prompt="Select - Select Investment Horizon:" sqref="C7">
      <formula1>'_Lists'!$BE$2:$BE$6</formula1>
    </dataValidation>
    <dataValidation type="list" allowBlank="1" showInputMessage="1" showErrorMessage="1" prompt="Select - Select Investable Surplus:" sqref="C8">
      <formula1>'_Lists'!$BF$2:$BF$8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2026-06-01T07:29:50Z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
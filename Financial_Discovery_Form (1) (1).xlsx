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ient Master" sheetId="1" r:id="rId4"/>
    <sheet state="hidden" name="_Lists" sheetId="2" r:id="rId5"/>
    <sheet state="visible" name="Assets &amp; Liabilities" sheetId="3" r:id="rId6"/>
    <sheet state="visible" name="Insurance Review" sheetId="4" r:id="rId7"/>
    <sheet state="visible" name="Goals &amp; Investment Plan" sheetId="5" r:id="rId8"/>
  </sheets>
  <definedNames/>
  <calcPr/>
  <extLst>
    <ext uri="GoogleSheetsCustomDataVersion2">
      <go:sheetsCustomData xmlns:go="http://customooxmlschemas.google.com/" r:id="rId9" roundtripDataChecksum="qwQYQxP/OW70EASxpe56eclnCUuJq55L65aSuM7kBfY="/>
    </ext>
  </extLst>
</workbook>
</file>

<file path=xl/sharedStrings.xml><?xml version="1.0" encoding="utf-8"?>
<sst xmlns="http://schemas.openxmlformats.org/spreadsheetml/2006/main" count="284" uniqueCount="264">
  <si>
    <t>FINANCIAL DISCOVERY FORM</t>
  </si>
  <si>
    <t>Comprehensive Client Financial Profile  ·  Wealth Advisory</t>
  </si>
  <si>
    <t xml:space="preserve">  SECTION 1  ·  CLIENT IDENTIFICATION</t>
  </si>
  <si>
    <t>Full Name (as per PAN):</t>
  </si>
  <si>
    <t>Date of Birth:</t>
  </si>
  <si>
    <t>PAN Number:</t>
  </si>
  <si>
    <t>Mobile:</t>
  </si>
  <si>
    <t>Email Address:</t>
  </si>
  <si>
    <t>Aadhaar (last 4):</t>
  </si>
  <si>
    <t>City:</t>
  </si>
  <si>
    <t>RM / Advisor:</t>
  </si>
  <si>
    <t>Residency Status:</t>
  </si>
  <si>
    <t>Date of Meeting:</t>
  </si>
  <si>
    <t>Client ID:</t>
  </si>
  <si>
    <t>Review Type:</t>
  </si>
  <si>
    <t>Occupation / Designation:</t>
  </si>
  <si>
    <t>Employer / Business:</t>
  </si>
  <si>
    <t>Tax Slab:</t>
  </si>
  <si>
    <t>Dependents:</t>
  </si>
  <si>
    <t>Nominee Name:</t>
  </si>
  <si>
    <t>Relation to Nominee:</t>
  </si>
  <si>
    <t>Nominee DOB:</t>
  </si>
  <si>
    <t>PAN of Nominee:</t>
  </si>
  <si>
    <t xml:space="preserve">  SECTION 2  ·  INCOME &amp; CASH FLOW</t>
  </si>
  <si>
    <t>Income Source</t>
  </si>
  <si>
    <t>Annual Amount (₹)</t>
  </si>
  <si>
    <t>Frequency</t>
  </si>
  <si>
    <t>Taxable?</t>
  </si>
  <si>
    <t>Notes</t>
  </si>
  <si>
    <t>Primary Income (Salary / Business)</t>
  </si>
  <si>
    <t>Rental Income</t>
  </si>
  <si>
    <t>Dividend / Interest Income</t>
  </si>
  <si>
    <t>Pension / Annuity</t>
  </si>
  <si>
    <t>Other Income</t>
  </si>
  <si>
    <t>TOTAL GROSS ANNUAL INCOME</t>
  </si>
  <si>
    <t xml:space="preserve">  SECTION 3  ·  MONTHLY HOUSEHOLD EXPENSES</t>
  </si>
  <si>
    <t>Expense Category</t>
  </si>
  <si>
    <t>Monthly (₹)</t>
  </si>
  <si>
    <t>Annual – Auto (₹)</t>
  </si>
  <si>
    <t>House Rent / Home Loan EMI</t>
  </si>
  <si>
    <t>Groceries &amp; Household</t>
  </si>
  <si>
    <t>Children's Education Fees</t>
  </si>
  <si>
    <t>All Insurance Premiums</t>
  </si>
  <si>
    <t>Vehicle EMI / Transport</t>
  </si>
  <si>
    <t>Utilities (Power, Internet, etc.)</t>
  </si>
  <si>
    <t>Medical / Healthcare</t>
  </si>
  <si>
    <t>Entertainment &amp; Dining</t>
  </si>
  <si>
    <t>Clothing &amp; Personal Care</t>
  </si>
  <si>
    <t>Other Regular Expenses</t>
  </si>
  <si>
    <t>TOTAL MONTHLY EXPENSES</t>
  </si>
  <si>
    <t xml:space="preserve">  SECTION 4  ·  INVESTABLE SURPLUS ANALYSIS</t>
  </si>
  <si>
    <t>Gross Annual Income (auto)</t>
  </si>
  <si>
    <t>Annual Household Expenses (auto)</t>
  </si>
  <si>
    <t>Annual Loan EMIs – enter manually (₹)</t>
  </si>
  <si>
    <t>Annual Insurance Premiums – enter manually (₹)</t>
  </si>
  <si>
    <t>Estimated Annual Tax Liability (₹)</t>
  </si>
  <si>
    <t>NET ANNUAL INVESTABLE SURPLUS</t>
  </si>
  <si>
    <t>Estimated Monthly SIP Capacity (Annual Surplus ÷ 12)</t>
  </si>
  <si>
    <t xml:space="preserve">  🟡 Yellow = Enter manually   🟢 Green = Auto-calculated   ⚠ Authorised RM use only — handle per SEBI/IRDAI data privacy norms</t>
  </si>
  <si>
    <t>YesNo</t>
  </si>
  <si>
    <t>YesNoNA</t>
  </si>
  <si>
    <t>YesNoPart</t>
  </si>
  <si>
    <t>Freq</t>
  </si>
  <si>
    <t>AssetType</t>
  </si>
  <si>
    <t>LiabType</t>
  </si>
  <si>
    <t>InsurType</t>
  </si>
  <si>
    <t>GoalType</t>
  </si>
  <si>
    <t>TaxSlab</t>
  </si>
  <si>
    <t>Residency</t>
  </si>
  <si>
    <t>RiskProfile</t>
  </si>
  <si>
    <t>Priority</t>
  </si>
  <si>
    <t>ReviewType</t>
  </si>
  <si>
    <t>AdviceType</t>
  </si>
  <si>
    <t>NextStep</t>
  </si>
  <si>
    <t>RMRating</t>
  </si>
  <si>
    <t>Relation</t>
  </si>
  <si>
    <t>Action</t>
  </si>
  <si>
    <t>Yes</t>
  </si>
  <si>
    <t>Monthly</t>
  </si>
  <si>
    <t>Savings / Current A/C</t>
  </si>
  <si>
    <t>Home Loan</t>
  </si>
  <si>
    <t>Term Life</t>
  </si>
  <si>
    <t>Home Purchase</t>
  </si>
  <si>
    <t>Nil / New Regime 0%</t>
  </si>
  <si>
    <t>Resident Indian</t>
  </si>
  <si>
    <t>Conservative</t>
  </si>
  <si>
    <t>Very High</t>
  </si>
  <si>
    <t>New Client</t>
  </si>
  <si>
    <t>Full Financial Plan</t>
  </si>
  <si>
    <t>Send Proposal</t>
  </si>
  <si>
    <t>1 – Very Low</t>
  </si>
  <si>
    <t>Self</t>
  </si>
  <si>
    <t>Open New</t>
  </si>
  <si>
    <t>No</t>
  </si>
  <si>
    <t>Quarterly</t>
  </si>
  <si>
    <t>Fixed Deposit</t>
  </si>
  <si>
    <t>Car Loan</t>
  </si>
  <si>
    <t>Whole Life</t>
  </si>
  <si>
    <t>Child Education</t>
  </si>
  <si>
    <t>5%</t>
  </si>
  <si>
    <t>NRI – USA</t>
  </si>
  <si>
    <t>Moderately Conservative</t>
  </si>
  <si>
    <t>High</t>
  </si>
  <si>
    <t>Annual Review</t>
  </si>
  <si>
    <t>Investment Advisory</t>
  </si>
  <si>
    <t>Schedule Follow-Up</t>
  </si>
  <si>
    <t>2 – Low</t>
  </si>
  <si>
    <t>Spouse</t>
  </si>
  <si>
    <t>Top Up Existing</t>
  </si>
  <si>
    <t>N/A</t>
  </si>
  <si>
    <t>Partially</t>
  </si>
  <si>
    <t>Half-Yearly</t>
  </si>
  <si>
    <t>Recurring Deposit</t>
  </si>
  <si>
    <t>Personal Loan</t>
  </si>
  <si>
    <t>ULIP</t>
  </si>
  <si>
    <t>Child Marriage</t>
  </si>
  <si>
    <t>10%</t>
  </si>
  <si>
    <t>NRI – UK</t>
  </si>
  <si>
    <t>Moderate</t>
  </si>
  <si>
    <t>Portfolio Rebalance</t>
  </si>
  <si>
    <t>Tax Planning</t>
  </si>
  <si>
    <t>Complete KYC</t>
  </si>
  <si>
    <t>3 – Medium</t>
  </si>
  <si>
    <t>Father</t>
  </si>
  <si>
    <t>Switch / Redeem</t>
  </si>
  <si>
    <t>Annually</t>
  </si>
  <si>
    <t>PPF / EPF / NPS</t>
  </si>
  <si>
    <t>Business Loan</t>
  </si>
  <si>
    <t>Endowment</t>
  </si>
  <si>
    <t>Retirement</t>
  </si>
  <si>
    <t>15%</t>
  </si>
  <si>
    <t>NRI – UAE</t>
  </si>
  <si>
    <t>Moderately Aggressive</t>
  </si>
  <si>
    <t>Low</t>
  </si>
  <si>
    <t>Goal Review</t>
  </si>
  <si>
    <t>Insurance Review</t>
  </si>
  <si>
    <t>Open Account</t>
  </si>
  <si>
    <t>4 – High</t>
  </si>
  <si>
    <t>Mother</t>
  </si>
  <si>
    <t>Review Only</t>
  </si>
  <si>
    <t>One-time</t>
  </si>
  <si>
    <t>MF – Equity</t>
  </si>
  <si>
    <t>Education Loan</t>
  </si>
  <si>
    <t>Money Back</t>
  </si>
  <si>
    <t>Wealth Creation</t>
  </si>
  <si>
    <t>20%</t>
  </si>
  <si>
    <t>NRI – Other</t>
  </si>
  <si>
    <t>Aggressive</t>
  </si>
  <si>
    <t>Not a Priority</t>
  </si>
  <si>
    <t>Retirement Planning</t>
  </si>
  <si>
    <t>Awaiting Documents</t>
  </si>
  <si>
    <t>5 – Very High</t>
  </si>
  <si>
    <t>Son</t>
  </si>
  <si>
    <t>Close</t>
  </si>
  <si>
    <t>MF – Debt</t>
  </si>
  <si>
    <t>Credit Card Outstanding</t>
  </si>
  <si>
    <t>Health – Individual</t>
  </si>
  <si>
    <t>Emergency Fund</t>
  </si>
  <si>
    <t>30%+Surcharge</t>
  </si>
  <si>
    <t>PIO / OCI</t>
  </si>
  <si>
    <t>Very Aggressive</t>
  </si>
  <si>
    <t>Other</t>
  </si>
  <si>
    <t>One-Time Transaction</t>
  </si>
  <si>
    <t>Deal Closed</t>
  </si>
  <si>
    <t>Daughter</t>
  </si>
  <si>
    <t>MF – Hybrid</t>
  </si>
  <si>
    <t>Health – Family Floater</t>
  </si>
  <si>
    <t>Tax Saving</t>
  </si>
  <si>
    <t>Foreign National</t>
  </si>
  <si>
    <t>No Action</t>
  </si>
  <si>
    <t>Direct Equity / Shares</t>
  </si>
  <si>
    <t>Critical Illness</t>
  </si>
  <si>
    <t>Business Expansion</t>
  </si>
  <si>
    <t>PMS</t>
  </si>
  <si>
    <t>Accidental</t>
  </si>
  <si>
    <t>Foreign Travel</t>
  </si>
  <si>
    <t>AIF / Hedge Fund</t>
  </si>
  <si>
    <t>None</t>
  </si>
  <si>
    <t>SIF</t>
  </si>
  <si>
    <t>Real Estate</t>
  </si>
  <si>
    <t>Gold / SGB</t>
  </si>
  <si>
    <t>Endowment / Money Back</t>
  </si>
  <si>
    <t>Bonds / Debentures</t>
  </si>
  <si>
    <t>ASSETS &amp; LIABILITIES SNAPSHOT</t>
  </si>
  <si>
    <t>Net Worth Calculation  ·  Full picture of client's financial position</t>
  </si>
  <si>
    <t xml:space="preserve">  SECTION A  ·  ASSETS (What You Own)</t>
  </si>
  <si>
    <t>Asset Description</t>
  </si>
  <si>
    <t>Category</t>
  </si>
  <si>
    <t>Current Value (₹)</t>
  </si>
  <si>
    <t>Cost / Invested (₹)</t>
  </si>
  <si>
    <t>Gain / Loss (₹)</t>
  </si>
  <si>
    <t>Liquid?</t>
  </si>
  <si>
    <t>TOTAL ASSETS</t>
  </si>
  <si>
    <t xml:space="preserve">  SECTION B  ·  LIABILITIES (What You Owe)</t>
  </si>
  <si>
    <t>Description</t>
  </si>
  <si>
    <t>Type</t>
  </si>
  <si>
    <t>Outstanding (₹)</t>
  </si>
  <si>
    <t>Monthly EMI (₹)</t>
  </si>
  <si>
    <t>Rate %</t>
  </si>
  <si>
    <t>Tenure (Months)</t>
  </si>
  <si>
    <t>TOTAL LIABILITIES</t>
  </si>
  <si>
    <t>NET WORTH  (Assets − Liabilities)</t>
  </si>
  <si>
    <t>Debt-to-Asset Ratio (target &lt; 40%)</t>
  </si>
  <si>
    <t xml:space="preserve">  🟡 Yellow = Enter   🟢 Green = Auto (Gain/Loss = Current − Cost)   Net Worth and Debt Ratio update automatically</t>
  </si>
  <si>
    <t>INSURANCE COVERAGE REVIEW</t>
  </si>
  <si>
    <t>Identify Life &amp; Health coverage gaps  ·  Recommend adequate protection</t>
  </si>
  <si>
    <t xml:space="preserve">  LIFE INSURANCE POLICIES</t>
  </si>
  <si>
    <t>Policy / Insurer</t>
  </si>
  <si>
    <t>Sum Assured (₹)</t>
  </si>
  <si>
    <t>Annual Premium (₹)</t>
  </si>
  <si>
    <t>Term (Yrs)</t>
  </si>
  <si>
    <t>Maturity Yr</t>
  </si>
  <si>
    <t>Nominee</t>
  </si>
  <si>
    <t>Status</t>
  </si>
  <si>
    <t>TOTAL LIFE COVER  /  TOTAL PREMIUMS</t>
  </si>
  <si>
    <t xml:space="preserve">  COVERAGE ADEQUACY CHECK</t>
  </si>
  <si>
    <t>Annual Income – enter from Client Master (₹)</t>
  </si>
  <si>
    <t>Recommended Life Cover (10× Income)</t>
  </si>
  <si>
    <t>Existing Total Life Cover (auto)</t>
  </si>
  <si>
    <t>COVERAGE GAP  (Recommended − Existing)</t>
  </si>
  <si>
    <t xml:space="preserve">  HEALTH &amp; GENERAL INSURANCE</t>
  </si>
  <si>
    <t>Insurer / Plan</t>
  </si>
  <si>
    <t>Sum Insured (₹)</t>
  </si>
  <si>
    <t>Premium (₹)</t>
  </si>
  <si>
    <t>Members</t>
  </si>
  <si>
    <t>Floater?</t>
  </si>
  <si>
    <t>Expiry</t>
  </si>
  <si>
    <t>Remarks</t>
  </si>
  <si>
    <t xml:space="preserve">  🟡 Yellow = Enter   🟢 Green = Auto   Coverage Gap = Recommended (10× income) − Existing total life sum assured</t>
  </si>
  <si>
    <t>FINANCIAL GOALS &amp; INVESTMENT PLAN</t>
  </si>
  <si>
    <t>Define goals  ·  Estimate corpus  ·  Map to products  ·  Track progress</t>
  </si>
  <si>
    <t xml:space="preserve">  SECTION A  ·  FINANCIAL GOALS PLANNER</t>
  </si>
  <si>
    <t>Goal Description</t>
  </si>
  <si>
    <t>Goal Type</t>
  </si>
  <si>
    <t>Target Year</t>
  </si>
  <si>
    <t>Target Corpus (₹)</t>
  </si>
  <si>
    <t>Already Saved (₹)</t>
  </si>
  <si>
    <t>SIP Est. (₹/mo)</t>
  </si>
  <si>
    <t>TOTAL CORPUS TARGET  /  TOTAL SIP NEEDED</t>
  </si>
  <si>
    <t xml:space="preserve">  SECTION B  ·  PRODUCT RECOMMENDATION MAP</t>
  </si>
  <si>
    <t>Goal / Purpose</t>
  </si>
  <si>
    <t>Existing Product</t>
  </si>
  <si>
    <t>Recommended Product</t>
  </si>
  <si>
    <t>Proposed Amount (₹)</t>
  </si>
  <si>
    <t>Timeline</t>
  </si>
  <si>
    <t>Emergency Fund (3–6 months)</t>
  </si>
  <si>
    <t>Tax Saving – 80C (₹1.5L limit)</t>
  </si>
  <si>
    <t>Life Insurance Gap</t>
  </si>
  <si>
    <t>Health Insurance Enhancement</t>
  </si>
  <si>
    <t>Short-Term Goal (&lt; 3 Yrs)</t>
  </si>
  <si>
    <t>Medium-Term Goal (3–7 Yrs)</t>
  </si>
  <si>
    <t>Long-Term / Retirement</t>
  </si>
  <si>
    <t>Other Investment</t>
  </si>
  <si>
    <t xml:space="preserve">  SECTION C  ·  ADVISOR ASSESSMENT &amp; NEXT STEPS</t>
  </si>
  <si>
    <t>Assessed Risk Profile:</t>
  </si>
  <si>
    <t>Advisory Service Required:</t>
  </si>
  <si>
    <t>Key Client Concerns / Notes:</t>
  </si>
  <si>
    <t>Products Discussed Today:</t>
  </si>
  <si>
    <t>Recommended Next Action:</t>
  </si>
  <si>
    <t>Follow-Up Date:</t>
  </si>
  <si>
    <t>RM Conviction Rating (1–5):</t>
  </si>
  <si>
    <t>Client Signature: ___________________________</t>
  </si>
  <si>
    <t>RM / Advisor Signature: ___________________________</t>
  </si>
  <si>
    <t xml:space="preserve">  🟡 Yellow = Enter manually   🟢 Green = Auto-calculated   SIP Est = (Target − Saved) ÷ Months Remaining (simplified; use financial calculator for exact)   ⚠ Authorised use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</si>
</sst>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\₹#,##0"/>
    <numFmt numFmtId="165" formatCode="0.0%"/>
  </numFmts>
  <fonts count="26">
    <font>
      <sz val="11.0"/>
      <color theme="1"/>
      <name val="Calibri"/>
      <scheme val="minor"/>
    </font>
    <font>
      <sz val="11.0"/>
      <color theme="1"/>
      <name val="Calibri"/>
    </font>
    <font>
      <b/>
      <sz val="22.0"/>
      <color rgb="FFFFFFFF"/>
      <name val="Arial"/>
    </font>
    <font/>
    <font>
      <b/>
      <sz val="11.0"/>
      <color rgb="FFFFFFFF"/>
      <name val="Arial"/>
    </font>
    <font>
      <b/>
      <sz val="10.0"/>
      <color rgb="FFFFFFFF"/>
      <name val="Arial"/>
    </font>
    <font>
      <b/>
      <sz val="9.0"/>
      <color rgb="FF1B2A4A"/>
      <name val="Arial"/>
    </font>
    <font>
      <b/>
      <sz val="9.0"/>
      <color rgb="FFFFFFFF"/>
      <name val="Arial"/>
    </font>
    <font>
      <sz val="10.0"/>
      <color rgb="FF4A5568"/>
      <name val="Arial"/>
    </font>
    <font>
      <b/>
      <sz val="13.0"/>
      <color rgb="FF1B2A4A"/>
      <name val="Arial"/>
    </font>
    <font>
      <sz val="10.0"/>
      <color rgb="FF000000"/>
      <name val="Arial"/>
    </font>
    <font>
      <b/>
      <sz val="10.0"/>
      <color rgb="FF000000"/>
      <name val="Arial"/>
    </font>
    <font>
      <b/>
      <sz val="12.0"/>
      <color rgb="FFFFFFFF"/>
      <name val="Arial"/>
    </font>
    <font>
      <b/>
      <sz val="15.0"/>
      <color rgb="FF1B2A4A"/>
      <name val="Arial"/>
    </font>
    <font>
      <b/>
      <sz val="10.0"/>
      <color rgb="FF1B2A4A"/>
      <name val="Arial"/>
    </font>
    <font>
      <b/>
      <sz val="13.0"/>
      <color rgb="FF0D6E6E"/>
      <name val="Arial"/>
    </font>
    <font>
      <i/>
      <sz val="8.0"/>
      <color rgb="FFC0392B"/>
      <name val="Arial"/>
    </font>
    <font>
      <b/>
      <sz val="11.0"/>
      <color theme="1"/>
      <name val="Arial"/>
    </font>
    <font>
      <b/>
      <sz val="18.0"/>
      <color rgb="FFFFFFFF"/>
      <name val="Arial"/>
    </font>
    <font>
      <b/>
      <sz val="14.0"/>
      <color rgb="FF1B2A4A"/>
      <name val="Arial"/>
    </font>
    <font>
      <b/>
      <sz val="14.0"/>
      <color rgb="FFC0392B"/>
      <name val="Arial"/>
    </font>
    <font>
      <b/>
      <sz val="12.0"/>
      <color rgb="FFC0392B"/>
      <name val="Arial"/>
    </font>
    <font>
      <b/>
      <sz val="13.0"/>
      <color rgb="FFFFFFFF"/>
      <name val="Arial"/>
    </font>
    <font>
      <b/>
      <sz val="16.0"/>
      <color rgb="FF1B2A4A"/>
      <name val="Arial"/>
    </font>
    <font>
      <b/>
      <sz val="12.0"/>
      <color rgb="FF0D6E6E"/>
      <name val="Arial"/>
    </font>
    <font>
      <sz val="12.0"/>
      <color rgb="FF000000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1B2A4A"/>
        <bgColor rgb="FF1B2A4A"/>
      </patternFill>
    </fill>
    <fill>
      <patternFill patternType="solid">
        <fgColor rgb="FFC9A84C"/>
        <bgColor rgb="FFC9A84C"/>
      </patternFill>
    </fill>
    <fill>
      <patternFill patternType="solid">
        <fgColor rgb="FF0D6E6E"/>
        <bgColor rgb="FF0D6E6E"/>
      </patternFill>
    </fill>
    <fill>
      <patternFill patternType="solid">
        <fgColor rgb="FFD6E4F7"/>
        <bgColor rgb="FFD6E4F7"/>
      </patternFill>
    </fill>
    <fill>
      <patternFill patternType="solid">
        <fgColor rgb="FFFFFDE7"/>
        <bgColor rgb="FFFFFDE7"/>
      </patternFill>
    </fill>
    <fill>
      <patternFill patternType="solid">
        <fgColor rgb="FF2D4A7A"/>
        <bgColor rgb="FF2D4A7A"/>
      </patternFill>
    </fill>
    <fill>
      <patternFill patternType="solid">
        <fgColor rgb="FFEBF4FF"/>
        <bgColor rgb="FFEBF4FF"/>
      </patternFill>
    </fill>
    <fill>
      <patternFill patternType="solid">
        <fgColor rgb="FFFFFFFF"/>
        <bgColor rgb="FFFFFFFF"/>
      </patternFill>
    </fill>
    <fill>
      <patternFill patternType="solid">
        <fgColor rgb="FFE6F4F4"/>
        <bgColor rgb="FFE6F4F4"/>
      </patternFill>
    </fill>
    <fill>
      <patternFill patternType="solid">
        <fgColor rgb="FFE8F5E9"/>
        <bgColor rgb="FFE8F5E9"/>
      </patternFill>
    </fill>
    <fill>
      <patternFill patternType="solid">
        <fgColor rgb="FFF7F8FA"/>
        <bgColor rgb="FFF7F8FA"/>
      </patternFill>
    </fill>
    <fill>
      <patternFill patternType="solid">
        <fgColor rgb="FFFDFBF0"/>
        <bgColor rgb="FFFDFBF0"/>
      </patternFill>
    </fill>
    <fill>
      <patternFill patternType="solid">
        <fgColor rgb="FFC0392B"/>
        <bgColor rgb="FFC0392B"/>
      </patternFill>
    </fill>
    <fill>
      <patternFill patternType="solid">
        <fgColor rgb="FFFFCDD2"/>
        <bgColor rgb="FFFFCDD2"/>
      </patternFill>
    </fill>
    <fill>
      <patternFill patternType="solid">
        <fgColor rgb="FF6B46C1"/>
        <bgColor rgb="FF6B46C1"/>
      </patternFill>
    </fill>
  </fills>
  <borders count="12">
    <border/>
    <border>
      <left style="thin">
        <color rgb="FFCCCCCC"/>
      </lef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medium">
        <color rgb="FF1B2A4A"/>
      </left>
      <top style="medium">
        <color rgb="FF1B2A4A"/>
      </top>
      <bottom style="medium">
        <color rgb="FF1B2A4A"/>
      </bottom>
    </border>
    <border>
      <right style="medium">
        <color rgb="FF1B2A4A"/>
      </right>
      <top style="medium">
        <color rgb="FF1B2A4A"/>
      </top>
      <bottom style="medium">
        <color rgb="FF1B2A4A"/>
      </bottom>
    </border>
    <border>
      <left style="medium">
        <color rgb="FF1B2A4A"/>
      </left>
      <right style="medium">
        <color rgb="FF1B2A4A"/>
      </right>
      <top style="medium">
        <color rgb="FF1B2A4A"/>
      </top>
      <bottom style="medium">
        <color rgb="FF1B2A4A"/>
      </bottom>
    </border>
    <border>
      <top style="medium">
        <color rgb="FF1B2A4A"/>
      </top>
      <bottom style="medium">
        <color rgb="FF1B2A4A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3" fillId="0" fontId="3" numFmtId="0" xfId="0" applyBorder="1" applyFont="1"/>
    <xf borderId="1" fillId="3" fontId="4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ill="1" applyFont="1">
      <alignment horizontal="left" shrinkToFit="0" vertical="center" wrapText="1"/>
    </xf>
    <xf borderId="4" fillId="5" fontId="6" numFmtId="0" xfId="0" applyAlignment="1" applyBorder="1" applyFill="1" applyFont="1">
      <alignment horizontal="left" shrinkToFit="0" vertical="center" wrapText="1"/>
    </xf>
    <xf borderId="5" fillId="6" fontId="1" numFmtId="0" xfId="0" applyAlignment="1" applyBorder="1" applyFill="1" applyFont="1">
      <alignment horizontal="left" shrinkToFit="0" vertical="center" wrapText="1"/>
    </xf>
    <xf borderId="6" fillId="0" fontId="3" numFmtId="0" xfId="0" applyBorder="1" applyFont="1"/>
    <xf borderId="7" fillId="6" fontId="1" numFmtId="0" xfId="0" applyAlignment="1" applyBorder="1" applyFont="1">
      <alignment horizontal="left" shrinkToFit="0" vertical="center" wrapText="1"/>
    </xf>
    <xf borderId="1" fillId="7" fontId="5" numFmtId="0" xfId="0" applyAlignment="1" applyBorder="1" applyFill="1" applyFont="1">
      <alignment horizontal="left" shrinkToFit="0" vertical="center" wrapText="1"/>
    </xf>
    <xf borderId="1" fillId="7" fontId="7" numFmtId="0" xfId="0" applyAlignment="1" applyBorder="1" applyFont="1">
      <alignment horizontal="center" shrinkToFit="0" vertical="center" wrapText="1"/>
    </xf>
    <xf borderId="4" fillId="7" fontId="7" numFmtId="0" xfId="0" applyAlignment="1" applyBorder="1" applyFont="1">
      <alignment horizontal="center" shrinkToFit="0" vertical="center" wrapText="1"/>
    </xf>
    <xf borderId="1" fillId="8" fontId="8" numFmtId="0" xfId="0" applyAlignment="1" applyBorder="1" applyFill="1" applyFont="1">
      <alignment horizontal="left" shrinkToFit="0" vertical="center" wrapText="1"/>
    </xf>
    <xf borderId="5" fillId="6" fontId="1" numFmtId="164" xfId="0" applyAlignment="1" applyBorder="1" applyFont="1" applyNumberFormat="1">
      <alignment horizontal="right" shrinkToFit="0" vertical="center" wrapText="0"/>
    </xf>
    <xf borderId="8" fillId="0" fontId="3" numFmtId="0" xfId="0" applyBorder="1" applyFont="1"/>
    <xf borderId="1" fillId="9" fontId="8" numFmtId="0" xfId="0" applyAlignment="1" applyBorder="1" applyFill="1" applyFont="1">
      <alignment horizontal="left" shrinkToFit="0" vertical="center" wrapText="1"/>
    </xf>
    <xf borderId="5" fillId="2" fontId="4" numFmtId="0" xfId="0" applyAlignment="1" applyBorder="1" applyFont="1">
      <alignment horizontal="left" shrinkToFit="0" vertical="center" wrapText="1"/>
    </xf>
    <xf borderId="5" fillId="3" fontId="9" numFmtId="164" xfId="0" applyAlignment="1" applyBorder="1" applyFont="1" applyNumberFormat="1">
      <alignment horizontal="right" shrinkToFit="0" vertical="center" wrapText="0"/>
    </xf>
    <xf borderId="1" fillId="4" fontId="7" numFmtId="0" xfId="0" applyAlignment="1" applyBorder="1" applyFont="1">
      <alignment horizontal="center" shrinkToFit="0" vertical="center" wrapText="1"/>
    </xf>
    <xf borderId="1" fillId="10" fontId="8" numFmtId="0" xfId="0" applyAlignment="1" applyBorder="1" applyFill="1" applyFont="1">
      <alignment horizontal="left" shrinkToFit="0" vertical="center" wrapText="1"/>
    </xf>
    <xf borderId="1" fillId="11" fontId="10" numFmtId="164" xfId="0" applyAlignment="1" applyBorder="1" applyFill="1" applyFont="1" applyNumberFormat="1">
      <alignment horizontal="right" shrinkToFit="0" vertical="center" wrapText="0"/>
    </xf>
    <xf borderId="1" fillId="12" fontId="10" numFmtId="0" xfId="0" applyAlignment="1" applyBorder="1" applyFill="1" applyFont="1">
      <alignment horizontal="left" shrinkToFit="0" vertical="center" wrapText="1"/>
    </xf>
    <xf borderId="1" fillId="3" fontId="11" numFmtId="0" xfId="0" applyAlignment="1" applyBorder="1" applyFont="1">
      <alignment horizontal="left" shrinkToFit="0" vertical="center" wrapText="1"/>
    </xf>
    <xf borderId="1" fillId="13" fontId="8" numFmtId="0" xfId="0" applyAlignment="1" applyBorder="1" applyFill="1" applyFont="1">
      <alignment horizontal="left" shrinkToFit="0" vertical="center" wrapText="1"/>
    </xf>
    <xf borderId="5" fillId="4" fontId="12" numFmtId="0" xfId="0" applyAlignment="1" applyBorder="1" applyFont="1">
      <alignment horizontal="left" shrinkToFit="0" vertical="center" wrapText="1"/>
    </xf>
    <xf borderId="5" fillId="3" fontId="13" numFmtId="164" xfId="0" applyAlignment="1" applyBorder="1" applyFont="1" applyNumberFormat="1">
      <alignment horizontal="right" shrinkToFit="0" vertical="center" wrapText="0"/>
    </xf>
    <xf borderId="1" fillId="5" fontId="14" numFmtId="0" xfId="0" applyAlignment="1" applyBorder="1" applyFont="1">
      <alignment horizontal="left" shrinkToFit="0" vertical="center" wrapText="1"/>
    </xf>
    <xf borderId="1" fillId="10" fontId="15" numFmtId="164" xfId="0" applyAlignment="1" applyBorder="1" applyFont="1" applyNumberFormat="1">
      <alignment horizontal="right" shrinkToFit="0" vertical="center" wrapText="0"/>
    </xf>
    <xf borderId="9" fillId="9" fontId="16" numFmtId="0" xfId="0" applyAlignment="1" applyBorder="1" applyFont="1">
      <alignment horizontal="left" shrinkToFit="0" vertical="center" wrapText="1"/>
    </xf>
    <xf borderId="10" fillId="0" fontId="3" numFmtId="0" xfId="0" applyBorder="1" applyFont="1"/>
    <xf borderId="11" fillId="0" fontId="3" numFmtId="0" xfId="0" applyBorder="1" applyFont="1"/>
    <xf borderId="0" fillId="0" fontId="17" numFmtId="0" xfId="0" applyAlignment="1" applyFont="1">
      <alignment shrinkToFit="0" vertical="bottom" wrapText="0"/>
    </xf>
    <xf borderId="1" fillId="2" fontId="18" numFmtId="0" xfId="0" applyAlignment="1" applyBorder="1" applyFont="1">
      <alignment horizontal="center" shrinkToFit="0" vertical="center" wrapText="1"/>
    </xf>
    <xf borderId="1" fillId="3" fontId="5" numFmtId="0" xfId="0" applyAlignment="1" applyBorder="1" applyFon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7" fillId="6" fontId="1" numFmtId="164" xfId="0" applyAlignment="1" applyBorder="1" applyFont="1" applyNumberFormat="1">
      <alignment horizontal="right" shrinkToFit="0" vertical="center" wrapText="0"/>
    </xf>
    <xf borderId="4" fillId="11" fontId="10" numFmtId="164" xfId="0" applyAlignment="1" applyBorder="1" applyFont="1" applyNumberFormat="1">
      <alignment horizontal="right" shrinkToFit="0" vertical="center" wrapText="0"/>
    </xf>
    <xf borderId="5" fillId="2" fontId="12" numFmtId="0" xfId="0" applyAlignment="1" applyBorder="1" applyFont="1">
      <alignment horizontal="left" shrinkToFit="0" vertical="center" wrapText="1"/>
    </xf>
    <xf borderId="7" fillId="3" fontId="19" numFmtId="164" xfId="0" applyAlignment="1" applyBorder="1" applyFont="1" applyNumberFormat="1">
      <alignment horizontal="right" shrinkToFit="0" vertical="center" wrapText="0"/>
    </xf>
    <xf borderId="4" fillId="12" fontId="1" numFmtId="0" xfId="0" applyAlignment="1" applyBorder="1" applyFont="1">
      <alignment shrinkToFit="0" vertical="bottom" wrapText="0"/>
    </xf>
    <xf borderId="1" fillId="14" fontId="5" numFmtId="0" xfId="0" applyAlignment="1" applyBorder="1" applyFill="1" applyFont="1">
      <alignment horizontal="left" shrinkToFit="0" vertical="center" wrapText="1"/>
    </xf>
    <xf borderId="4" fillId="14" fontId="7" numFmtId="0" xfId="0" applyAlignment="1" applyBorder="1" applyFont="1">
      <alignment horizontal="center" shrinkToFit="0" vertical="center" wrapText="1"/>
    </xf>
    <xf borderId="7" fillId="6" fontId="1" numFmtId="165" xfId="0" applyAlignment="1" applyBorder="1" applyFont="1" applyNumberFormat="1">
      <alignment horizontal="right" shrinkToFit="0" vertical="center" wrapText="0"/>
    </xf>
    <xf borderId="5" fillId="14" fontId="12" numFmtId="0" xfId="0" applyAlignment="1" applyBorder="1" applyFont="1">
      <alignment horizontal="left" shrinkToFit="0" vertical="center" wrapText="1"/>
    </xf>
    <xf borderId="7" fillId="15" fontId="20" numFmtId="164" xfId="0" applyAlignment="1" applyBorder="1" applyFill="1" applyFont="1" applyNumberFormat="1">
      <alignment horizontal="right" shrinkToFit="0" vertical="center" wrapText="0"/>
    </xf>
    <xf borderId="7" fillId="15" fontId="21" numFmtId="164" xfId="0" applyAlignment="1" applyBorder="1" applyFont="1" applyNumberFormat="1">
      <alignment horizontal="right" shrinkToFit="0" vertical="center" wrapText="0"/>
    </xf>
    <xf borderId="5" fillId="2" fontId="22" numFmtId="0" xfId="0" applyAlignment="1" applyBorder="1" applyFont="1">
      <alignment horizontal="left" shrinkToFit="0" vertical="center" wrapText="1"/>
    </xf>
    <xf borderId="7" fillId="3" fontId="23" numFmtId="164" xfId="0" applyAlignment="1" applyBorder="1" applyFont="1" applyNumberFormat="1">
      <alignment horizontal="right" shrinkToFit="0" vertical="center" wrapText="0"/>
    </xf>
    <xf borderId="4" fillId="10" fontId="24" numFmtId="165" xfId="0" applyAlignment="1" applyBorder="1" applyFont="1" applyNumberFormat="1">
      <alignment horizontal="right" shrinkToFit="0" vertical="center" wrapText="0"/>
    </xf>
    <xf borderId="1" fillId="16" fontId="18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4" fillId="2" fontId="7" numFmtId="0" xfId="0" applyAlignment="1" applyBorder="1" applyFont="1">
      <alignment horizontal="center" shrinkToFit="0" vertical="center" wrapText="1"/>
    </xf>
    <xf borderId="7" fillId="3" fontId="9" numFmtId="164" xfId="0" applyAlignment="1" applyBorder="1" applyFont="1" applyNumberFormat="1">
      <alignment horizontal="right" shrinkToFit="0" vertical="center" wrapText="0"/>
    </xf>
    <xf borderId="1" fillId="10" fontId="14" numFmtId="0" xfId="0" applyAlignment="1" applyBorder="1" applyFont="1">
      <alignment horizontal="left" shrinkToFit="0" vertical="center" wrapText="1"/>
    </xf>
    <xf borderId="7" fillId="6" fontId="25" numFmtId="164" xfId="0" applyAlignment="1" applyBorder="1" applyFont="1" applyNumberFormat="1">
      <alignment horizontal="right" shrinkToFit="0" vertical="center" wrapText="0"/>
    </xf>
    <xf borderId="1" fillId="9" fontId="14" numFmtId="0" xfId="0" applyAlignment="1" applyBorder="1" applyFont="1">
      <alignment horizontal="left" shrinkToFit="0" vertical="center" wrapText="1"/>
    </xf>
    <xf borderId="7" fillId="11" fontId="25" numFmtId="164" xfId="0" applyAlignment="1" applyBorder="1" applyFont="1" applyNumberFormat="1">
      <alignment horizontal="right" shrinkToFit="0" vertical="center" wrapText="0"/>
    </xf>
    <xf borderId="1" fillId="16" fontId="5" numFmtId="0" xfId="0" applyAlignment="1" applyBorder="1" applyFont="1">
      <alignment horizontal="left" shrinkToFit="0" vertical="center" wrapText="1"/>
    </xf>
    <xf borderId="4" fillId="16" fontId="7" numFmtId="0" xfId="0" applyAlignment="1" applyBorder="1" applyFont="1">
      <alignment horizontal="center" shrinkToFit="0" vertical="center" wrapText="1"/>
    </xf>
    <xf borderId="1" fillId="4" fontId="18" numFmtId="0" xfId="0" applyAlignment="1" applyBorder="1" applyFont="1">
      <alignment horizontal="center" shrinkToFit="0" vertical="center" wrapText="1"/>
    </xf>
    <xf borderId="4" fillId="12" fontId="10" numFmtId="0" xfId="0" applyAlignment="1" applyBorder="1" applyFont="1">
      <alignment horizontal="left" shrinkToFit="0" vertical="center" wrapText="1"/>
    </xf>
    <xf borderId="4" fillId="10" fontId="8" numFmtId="0" xfId="0" applyAlignment="1" applyBorder="1" applyFont="1">
      <alignment horizontal="left" shrinkToFit="0" vertical="center" wrapText="1"/>
    </xf>
    <xf borderId="4" fillId="9" fontId="8" numFmtId="0" xfId="0" applyAlignment="1" applyBorder="1" applyFont="1">
      <alignment horizontal="left" shrinkToFit="0" vertical="center" wrapText="1"/>
    </xf>
    <xf borderId="1" fillId="13" fontId="10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B2A4A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3" width="18.0"/>
    <col customWidth="1" min="4" max="4" width="3.0"/>
    <col customWidth="1" min="5" max="5" width="16.0"/>
    <col customWidth="1" min="6" max="6" width="3.0"/>
    <col customWidth="1" min="7" max="7" width="16.0"/>
    <col customWidth="1" min="8" max="8" width="17.57"/>
    <col customWidth="1" min="9" max="9" width="16.0"/>
    <col customWidth="1" min="10" max="10" width="3.0"/>
    <col customWidth="1" min="11" max="11" width="16.0"/>
    <col customWidth="1" min="12" max="12" width="14.71"/>
    <col customWidth="1" min="13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51.75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3"/>
      <c r="L2" s="4"/>
      <c r="M2" s="1"/>
    </row>
    <row r="3" ht="21.75" customHeight="1">
      <c r="A3" s="1"/>
      <c r="B3" s="5" t="s">
        <v>1</v>
      </c>
      <c r="C3" s="3"/>
      <c r="D3" s="3"/>
      <c r="E3" s="3"/>
      <c r="F3" s="3"/>
      <c r="G3" s="3"/>
      <c r="H3" s="3"/>
      <c r="I3" s="3"/>
      <c r="J3" s="3"/>
      <c r="K3" s="3"/>
      <c r="L3" s="4"/>
      <c r="M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21.75" customHeight="1">
      <c r="A5" s="1"/>
      <c r="B5" s="6" t="s">
        <v>2</v>
      </c>
      <c r="C5" s="3"/>
      <c r="D5" s="3"/>
      <c r="E5" s="3"/>
      <c r="F5" s="3"/>
      <c r="G5" s="3"/>
      <c r="H5" s="3"/>
      <c r="I5" s="3"/>
      <c r="J5" s="3"/>
      <c r="K5" s="3"/>
      <c r="L5" s="4"/>
      <c r="M5" s="1"/>
    </row>
    <row r="6" ht="24.0" customHeight="1">
      <c r="A6" s="1"/>
      <c r="B6" s="7" t="s">
        <v>3</v>
      </c>
      <c r="C6" s="8"/>
      <c r="D6" s="9"/>
      <c r="E6" s="7" t="s">
        <v>4</v>
      </c>
      <c r="F6" s="8"/>
      <c r="G6" s="9"/>
      <c r="H6" s="7" t="s">
        <v>5</v>
      </c>
      <c r="I6" s="8"/>
      <c r="J6" s="9"/>
      <c r="K6" s="7" t="s">
        <v>6</v>
      </c>
      <c r="L6" s="10"/>
      <c r="M6" s="1"/>
    </row>
    <row r="7" ht="24.0" customHeight="1">
      <c r="A7" s="1"/>
      <c r="B7" s="7" t="s">
        <v>7</v>
      </c>
      <c r="C7" s="8"/>
      <c r="D7" s="9"/>
      <c r="E7" s="7" t="s">
        <v>8</v>
      </c>
      <c r="F7" s="8"/>
      <c r="G7" s="9"/>
      <c r="H7" s="7" t="s">
        <v>9</v>
      </c>
      <c r="I7" s="8"/>
      <c r="J7" s="9"/>
      <c r="K7" s="7" t="s">
        <v>10</v>
      </c>
      <c r="L7" s="10"/>
      <c r="M7" s="1"/>
    </row>
    <row r="8" ht="24.0" customHeight="1">
      <c r="A8" s="1"/>
      <c r="B8" s="7" t="s">
        <v>11</v>
      </c>
      <c r="C8" s="8"/>
      <c r="D8" s="9"/>
      <c r="E8" s="7" t="s">
        <v>12</v>
      </c>
      <c r="F8" s="8"/>
      <c r="G8" s="9"/>
      <c r="H8" s="7" t="s">
        <v>13</v>
      </c>
      <c r="I8" s="8"/>
      <c r="J8" s="9"/>
      <c r="K8" s="7" t="s">
        <v>14</v>
      </c>
      <c r="L8" s="10"/>
      <c r="M8" s="1"/>
    </row>
    <row r="9" ht="24.0" customHeight="1">
      <c r="A9" s="1"/>
      <c r="B9" s="7" t="s">
        <v>15</v>
      </c>
      <c r="C9" s="8"/>
      <c r="D9" s="9"/>
      <c r="E9" s="7" t="s">
        <v>16</v>
      </c>
      <c r="F9" s="8"/>
      <c r="G9" s="9"/>
      <c r="H9" s="7" t="s">
        <v>17</v>
      </c>
      <c r="I9" s="8"/>
      <c r="J9" s="9"/>
      <c r="K9" s="7" t="s">
        <v>18</v>
      </c>
      <c r="L9" s="10"/>
      <c r="M9" s="1"/>
    </row>
    <row r="10" ht="24.0" customHeight="1">
      <c r="A10" s="1"/>
      <c r="B10" s="7" t="s">
        <v>19</v>
      </c>
      <c r="C10" s="8"/>
      <c r="D10" s="9"/>
      <c r="E10" s="7" t="s">
        <v>20</v>
      </c>
      <c r="F10" s="8"/>
      <c r="G10" s="9"/>
      <c r="H10" s="7" t="s">
        <v>21</v>
      </c>
      <c r="I10" s="8"/>
      <c r="J10" s="9"/>
      <c r="K10" s="7" t="s">
        <v>22</v>
      </c>
      <c r="L10" s="10"/>
      <c r="M10" s="1"/>
    </row>
    <row r="11" ht="7.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ht="21.75" customHeight="1">
      <c r="A12" s="1"/>
      <c r="B12" s="11" t="s">
        <v>23</v>
      </c>
      <c r="C12" s="3"/>
      <c r="D12" s="3"/>
      <c r="E12" s="3"/>
      <c r="F12" s="3"/>
      <c r="G12" s="3"/>
      <c r="H12" s="3"/>
      <c r="I12" s="3"/>
      <c r="J12" s="3"/>
      <c r="K12" s="3"/>
      <c r="L12" s="4"/>
      <c r="M12" s="1"/>
    </row>
    <row r="13" ht="19.5" customHeight="1">
      <c r="A13" s="1"/>
      <c r="B13" s="12" t="s">
        <v>24</v>
      </c>
      <c r="C13" s="3"/>
      <c r="D13" s="4"/>
      <c r="E13" s="12" t="s">
        <v>25</v>
      </c>
      <c r="F13" s="3"/>
      <c r="G13" s="4"/>
      <c r="H13" s="12" t="s">
        <v>26</v>
      </c>
      <c r="I13" s="4"/>
      <c r="J13" s="12" t="s">
        <v>27</v>
      </c>
      <c r="K13" s="4"/>
      <c r="L13" s="13" t="s">
        <v>28</v>
      </c>
      <c r="M13" s="1"/>
    </row>
    <row r="14" ht="21.75" customHeight="1">
      <c r="A14" s="1"/>
      <c r="B14" s="14" t="s">
        <v>29</v>
      </c>
      <c r="C14" s="3"/>
      <c r="D14" s="4"/>
      <c r="E14" s="15"/>
      <c r="F14" s="16"/>
      <c r="G14" s="9"/>
      <c r="H14" s="8"/>
      <c r="I14" s="9"/>
      <c r="J14" s="8"/>
      <c r="K14" s="9"/>
      <c r="L14" s="10"/>
      <c r="M14" s="1"/>
    </row>
    <row r="15" ht="21.75" customHeight="1">
      <c r="A15" s="1"/>
      <c r="B15" s="17" t="s">
        <v>30</v>
      </c>
      <c r="C15" s="3"/>
      <c r="D15" s="4"/>
      <c r="E15" s="15"/>
      <c r="F15" s="16"/>
      <c r="G15" s="9"/>
      <c r="H15" s="8"/>
      <c r="I15" s="9"/>
      <c r="J15" s="8"/>
      <c r="K15" s="9"/>
      <c r="L15" s="10"/>
      <c r="M15" s="1"/>
    </row>
    <row r="16" ht="21.75" customHeight="1">
      <c r="A16" s="1"/>
      <c r="B16" s="14" t="s">
        <v>31</v>
      </c>
      <c r="C16" s="3"/>
      <c r="D16" s="4"/>
      <c r="E16" s="15"/>
      <c r="F16" s="16"/>
      <c r="G16" s="9"/>
      <c r="H16" s="8"/>
      <c r="I16" s="9"/>
      <c r="J16" s="8"/>
      <c r="K16" s="9"/>
      <c r="L16" s="10"/>
      <c r="M16" s="1"/>
    </row>
    <row r="17" ht="21.75" customHeight="1">
      <c r="A17" s="1"/>
      <c r="B17" s="17" t="s">
        <v>32</v>
      </c>
      <c r="C17" s="3"/>
      <c r="D17" s="4"/>
      <c r="E17" s="15"/>
      <c r="F17" s="16"/>
      <c r="G17" s="9"/>
      <c r="H17" s="8"/>
      <c r="I17" s="9"/>
      <c r="J17" s="8"/>
      <c r="K17" s="9"/>
      <c r="L17" s="10"/>
      <c r="M17" s="1"/>
    </row>
    <row r="18" ht="21.75" customHeight="1">
      <c r="A18" s="1"/>
      <c r="B18" s="14" t="s">
        <v>33</v>
      </c>
      <c r="C18" s="3"/>
      <c r="D18" s="4"/>
      <c r="E18" s="15"/>
      <c r="F18" s="16"/>
      <c r="G18" s="9"/>
      <c r="H18" s="8"/>
      <c r="I18" s="9"/>
      <c r="J18" s="8"/>
      <c r="K18" s="9"/>
      <c r="L18" s="10"/>
      <c r="M18" s="1"/>
    </row>
    <row r="19" ht="25.5" customHeight="1">
      <c r="A19" s="1"/>
      <c r="B19" s="18" t="s">
        <v>34</v>
      </c>
      <c r="C19" s="16"/>
      <c r="D19" s="16"/>
      <c r="E19" s="16"/>
      <c r="F19" s="16"/>
      <c r="G19" s="9"/>
      <c r="H19" s="19">
        <f>IFERROR(SUM(E14,E15,E16,E17,E18),0)</f>
        <v>0</v>
      </c>
      <c r="I19" s="16"/>
      <c r="J19" s="16"/>
      <c r="K19" s="16"/>
      <c r="L19" s="9"/>
      <c r="M19" s="1"/>
    </row>
    <row r="20" ht="7.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21.75" customHeight="1">
      <c r="A21" s="1"/>
      <c r="B21" s="6" t="s">
        <v>35</v>
      </c>
      <c r="C21" s="3"/>
      <c r="D21" s="3"/>
      <c r="E21" s="3"/>
      <c r="F21" s="3"/>
      <c r="G21" s="3"/>
      <c r="H21" s="3"/>
      <c r="I21" s="3"/>
      <c r="J21" s="3"/>
      <c r="K21" s="3"/>
      <c r="L21" s="4"/>
      <c r="M21" s="1"/>
    </row>
    <row r="22" ht="19.5" customHeight="1">
      <c r="A22" s="1"/>
      <c r="B22" s="20" t="s">
        <v>36</v>
      </c>
      <c r="C22" s="3"/>
      <c r="D22" s="3"/>
      <c r="E22" s="4"/>
      <c r="F22" s="20" t="s">
        <v>37</v>
      </c>
      <c r="G22" s="4"/>
      <c r="H22" s="20" t="s">
        <v>38</v>
      </c>
      <c r="I22" s="4"/>
      <c r="J22" s="20" t="s">
        <v>28</v>
      </c>
      <c r="K22" s="3"/>
      <c r="L22" s="4"/>
      <c r="M22" s="1"/>
    </row>
    <row r="23" ht="21.75" customHeight="1">
      <c r="A23" s="1"/>
      <c r="B23" s="21" t="s">
        <v>39</v>
      </c>
      <c r="C23" s="3"/>
      <c r="D23" s="3"/>
      <c r="E23" s="4"/>
      <c r="F23" s="15"/>
      <c r="G23" s="9"/>
      <c r="H23" s="22">
        <f t="shared" ref="H23:H32" si="1">IFERROR(F23*12,0)</f>
        <v>0</v>
      </c>
      <c r="I23" s="4"/>
      <c r="J23" s="8"/>
      <c r="K23" s="16"/>
      <c r="L23" s="9"/>
      <c r="M23" s="1"/>
    </row>
    <row r="24" ht="21.75" customHeight="1">
      <c r="A24" s="1"/>
      <c r="B24" s="17" t="s">
        <v>40</v>
      </c>
      <c r="C24" s="3"/>
      <c r="D24" s="3"/>
      <c r="E24" s="4"/>
      <c r="F24" s="15"/>
      <c r="G24" s="9"/>
      <c r="H24" s="22">
        <f t="shared" si="1"/>
        <v>0</v>
      </c>
      <c r="I24" s="4"/>
      <c r="J24" s="8"/>
      <c r="K24" s="16"/>
      <c r="L24" s="9"/>
      <c r="M24" s="1"/>
    </row>
    <row r="25" ht="21.75" customHeight="1">
      <c r="A25" s="1"/>
      <c r="B25" s="21" t="s">
        <v>41</v>
      </c>
      <c r="C25" s="3"/>
      <c r="D25" s="3"/>
      <c r="E25" s="4"/>
      <c r="F25" s="15"/>
      <c r="G25" s="9"/>
      <c r="H25" s="22">
        <f t="shared" si="1"/>
        <v>0</v>
      </c>
      <c r="I25" s="4"/>
      <c r="J25" s="8"/>
      <c r="K25" s="16"/>
      <c r="L25" s="9"/>
      <c r="M25" s="1"/>
    </row>
    <row r="26" ht="21.75" customHeight="1">
      <c r="A26" s="1"/>
      <c r="B26" s="17" t="s">
        <v>42</v>
      </c>
      <c r="C26" s="3"/>
      <c r="D26" s="3"/>
      <c r="E26" s="4"/>
      <c r="F26" s="15"/>
      <c r="G26" s="9"/>
      <c r="H26" s="22">
        <f t="shared" si="1"/>
        <v>0</v>
      </c>
      <c r="I26" s="4"/>
      <c r="J26" s="8"/>
      <c r="K26" s="16"/>
      <c r="L26" s="9"/>
      <c r="M26" s="1"/>
    </row>
    <row r="27" ht="21.75" customHeight="1">
      <c r="A27" s="1"/>
      <c r="B27" s="21" t="s">
        <v>43</v>
      </c>
      <c r="C27" s="3"/>
      <c r="D27" s="3"/>
      <c r="E27" s="4"/>
      <c r="F27" s="15"/>
      <c r="G27" s="9"/>
      <c r="H27" s="22">
        <f t="shared" si="1"/>
        <v>0</v>
      </c>
      <c r="I27" s="4"/>
      <c r="J27" s="8"/>
      <c r="K27" s="16"/>
      <c r="L27" s="9"/>
      <c r="M27" s="1"/>
    </row>
    <row r="28" ht="21.75" customHeight="1">
      <c r="A28" s="1"/>
      <c r="B28" s="17" t="s">
        <v>44</v>
      </c>
      <c r="C28" s="3"/>
      <c r="D28" s="3"/>
      <c r="E28" s="4"/>
      <c r="F28" s="15"/>
      <c r="G28" s="9"/>
      <c r="H28" s="22">
        <f t="shared" si="1"/>
        <v>0</v>
      </c>
      <c r="I28" s="4"/>
      <c r="J28" s="8"/>
      <c r="K28" s="16"/>
      <c r="L28" s="9"/>
      <c r="M28" s="1"/>
    </row>
    <row r="29" ht="21.75" customHeight="1">
      <c r="A29" s="1"/>
      <c r="B29" s="21" t="s">
        <v>45</v>
      </c>
      <c r="C29" s="3"/>
      <c r="D29" s="3"/>
      <c r="E29" s="4"/>
      <c r="F29" s="15"/>
      <c r="G29" s="9"/>
      <c r="H29" s="22">
        <f t="shared" si="1"/>
        <v>0</v>
      </c>
      <c r="I29" s="4"/>
      <c r="J29" s="8"/>
      <c r="K29" s="16"/>
      <c r="L29" s="9"/>
      <c r="M29" s="1"/>
    </row>
    <row r="30" ht="21.75" customHeight="1">
      <c r="A30" s="1"/>
      <c r="B30" s="17" t="s">
        <v>46</v>
      </c>
      <c r="C30" s="3"/>
      <c r="D30" s="3"/>
      <c r="E30" s="4"/>
      <c r="F30" s="15"/>
      <c r="G30" s="9"/>
      <c r="H30" s="22">
        <f t="shared" si="1"/>
        <v>0</v>
      </c>
      <c r="I30" s="4"/>
      <c r="J30" s="8"/>
      <c r="K30" s="16"/>
      <c r="L30" s="9"/>
      <c r="M30" s="1"/>
    </row>
    <row r="31" ht="21.75" customHeight="1">
      <c r="A31" s="1"/>
      <c r="B31" s="21" t="s">
        <v>47</v>
      </c>
      <c r="C31" s="3"/>
      <c r="D31" s="3"/>
      <c r="E31" s="4"/>
      <c r="F31" s="15"/>
      <c r="G31" s="9"/>
      <c r="H31" s="22">
        <f t="shared" si="1"/>
        <v>0</v>
      </c>
      <c r="I31" s="4"/>
      <c r="J31" s="8"/>
      <c r="K31" s="16"/>
      <c r="L31" s="9"/>
      <c r="M31" s="1"/>
    </row>
    <row r="32" ht="21.75" customHeight="1">
      <c r="A32" s="1"/>
      <c r="B32" s="17" t="s">
        <v>48</v>
      </c>
      <c r="C32" s="3"/>
      <c r="D32" s="3"/>
      <c r="E32" s="4"/>
      <c r="F32" s="15"/>
      <c r="G32" s="9"/>
      <c r="H32" s="22">
        <f t="shared" si="1"/>
        <v>0</v>
      </c>
      <c r="I32" s="4"/>
      <c r="J32" s="8"/>
      <c r="K32" s="16"/>
      <c r="L32" s="9"/>
      <c r="M32" s="1"/>
    </row>
    <row r="33" ht="25.5" customHeight="1">
      <c r="A33" s="1"/>
      <c r="B33" s="18" t="s">
        <v>49</v>
      </c>
      <c r="C33" s="16"/>
      <c r="D33" s="16"/>
      <c r="E33" s="9"/>
      <c r="F33" s="19">
        <f>IFERROR(SUM(F23,F24,F25,F26,F27,F28,F29,F30,F31,F32),0)</f>
        <v>0</v>
      </c>
      <c r="G33" s="9"/>
      <c r="H33" s="19">
        <f>IFERROR(SUM(H23,H24,H25,H26,H27,H28,H29,H30,H31,H32),0)</f>
        <v>0</v>
      </c>
      <c r="I33" s="9"/>
      <c r="J33" s="23"/>
      <c r="K33" s="3"/>
      <c r="L33" s="4"/>
      <c r="M33" s="1"/>
    </row>
    <row r="34" ht="7.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21.75" customHeight="1">
      <c r="A35" s="1"/>
      <c r="B35" s="24" t="s">
        <v>50</v>
      </c>
      <c r="C35" s="3"/>
      <c r="D35" s="3"/>
      <c r="E35" s="3"/>
      <c r="F35" s="3"/>
      <c r="G35" s="3"/>
      <c r="H35" s="3"/>
      <c r="I35" s="3"/>
      <c r="J35" s="3"/>
      <c r="K35" s="3"/>
      <c r="L35" s="4"/>
      <c r="M35" s="1"/>
    </row>
    <row r="36" ht="24.0" customHeight="1">
      <c r="A36" s="1"/>
      <c r="B36" s="25" t="s">
        <v>51</v>
      </c>
      <c r="C36" s="3"/>
      <c r="D36" s="3"/>
      <c r="E36" s="3"/>
      <c r="F36" s="3"/>
      <c r="G36" s="3"/>
      <c r="H36" s="4"/>
      <c r="I36" s="22">
        <f>IFERROR(SUM(E14,E15,E16,E17,E18),0)</f>
        <v>0</v>
      </c>
      <c r="J36" s="3"/>
      <c r="K36" s="3"/>
      <c r="L36" s="4"/>
      <c r="M36" s="1"/>
    </row>
    <row r="37" ht="24.0" customHeight="1">
      <c r="A37" s="1"/>
      <c r="B37" s="17" t="s">
        <v>52</v>
      </c>
      <c r="C37" s="3"/>
      <c r="D37" s="3"/>
      <c r="E37" s="3"/>
      <c r="F37" s="3"/>
      <c r="G37" s="3"/>
      <c r="H37" s="4"/>
      <c r="I37" s="22">
        <f>IFERROR(H33,0)</f>
        <v>0</v>
      </c>
      <c r="J37" s="3"/>
      <c r="K37" s="3"/>
      <c r="L37" s="4"/>
      <c r="M37" s="1"/>
    </row>
    <row r="38" ht="24.0" customHeight="1">
      <c r="A38" s="1"/>
      <c r="B38" s="25" t="s">
        <v>53</v>
      </c>
      <c r="C38" s="3"/>
      <c r="D38" s="3"/>
      <c r="E38" s="3"/>
      <c r="F38" s="3"/>
      <c r="G38" s="3"/>
      <c r="H38" s="4"/>
      <c r="I38" s="15"/>
      <c r="J38" s="16"/>
      <c r="K38" s="16"/>
      <c r="L38" s="9"/>
      <c r="M38" s="1"/>
    </row>
    <row r="39" ht="24.0" customHeight="1">
      <c r="A39" s="1"/>
      <c r="B39" s="17" t="s">
        <v>54</v>
      </c>
      <c r="C39" s="3"/>
      <c r="D39" s="3"/>
      <c r="E39" s="3"/>
      <c r="F39" s="3"/>
      <c r="G39" s="3"/>
      <c r="H39" s="4"/>
      <c r="I39" s="15"/>
      <c r="J39" s="16"/>
      <c r="K39" s="16"/>
      <c r="L39" s="9"/>
      <c r="M39" s="1"/>
    </row>
    <row r="40" ht="24.0" customHeight="1">
      <c r="A40" s="1"/>
      <c r="B40" s="25" t="s">
        <v>55</v>
      </c>
      <c r="C40" s="3"/>
      <c r="D40" s="3"/>
      <c r="E40" s="3"/>
      <c r="F40" s="3"/>
      <c r="G40" s="3"/>
      <c r="H40" s="4"/>
      <c r="I40" s="15"/>
      <c r="J40" s="16"/>
      <c r="K40" s="16"/>
      <c r="L40" s="9"/>
      <c r="M40" s="1"/>
    </row>
    <row r="41" ht="30.0" customHeight="1">
      <c r="A41" s="1"/>
      <c r="B41" s="26" t="s">
        <v>56</v>
      </c>
      <c r="C41" s="16"/>
      <c r="D41" s="16"/>
      <c r="E41" s="16"/>
      <c r="F41" s="16"/>
      <c r="G41" s="16"/>
      <c r="H41" s="9"/>
      <c r="I41" s="27">
        <f>IFERROR(I36-I37-I38-I39-I40,0)</f>
        <v>0</v>
      </c>
      <c r="J41" s="16"/>
      <c r="K41" s="16"/>
      <c r="L41" s="9"/>
      <c r="M41" s="1"/>
    </row>
    <row r="42" ht="24.0" customHeight="1">
      <c r="A42" s="1"/>
      <c r="B42" s="28" t="s">
        <v>57</v>
      </c>
      <c r="C42" s="3"/>
      <c r="D42" s="3"/>
      <c r="E42" s="3"/>
      <c r="F42" s="3"/>
      <c r="G42" s="3"/>
      <c r="H42" s="4"/>
      <c r="I42" s="29">
        <f>IFERROR(ROUND(I41/12,0),0)</f>
        <v>0</v>
      </c>
      <c r="J42" s="3"/>
      <c r="K42" s="3"/>
      <c r="L42" s="4"/>
      <c r="M42" s="1"/>
    </row>
    <row r="43" ht="15.75" customHeight="1">
      <c r="A43" s="1"/>
      <c r="B43" s="30" t="s">
        <v>58</v>
      </c>
      <c r="C43" s="31"/>
      <c r="D43" s="31"/>
      <c r="E43" s="31"/>
      <c r="F43" s="31"/>
      <c r="G43" s="31"/>
      <c r="H43" s="31"/>
      <c r="I43" s="31"/>
      <c r="J43" s="31"/>
      <c r="K43" s="31"/>
      <c r="L43" s="32"/>
      <c r="M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</row>
  </sheetData>
  <mergeCells count="110">
    <mergeCell ref="I6:J6"/>
    <mergeCell ref="I7:J7"/>
    <mergeCell ref="I9:J9"/>
    <mergeCell ref="I10:J10"/>
    <mergeCell ref="F7:G7"/>
    <mergeCell ref="F8:G8"/>
    <mergeCell ref="F9:G9"/>
    <mergeCell ref="F10:G10"/>
    <mergeCell ref="C8:D8"/>
    <mergeCell ref="C9:D9"/>
    <mergeCell ref="C10:D10"/>
    <mergeCell ref="B2:L2"/>
    <mergeCell ref="B3:L3"/>
    <mergeCell ref="B5:L5"/>
    <mergeCell ref="C6:D6"/>
    <mergeCell ref="F6:G6"/>
    <mergeCell ref="C7:D7"/>
    <mergeCell ref="I8:J8"/>
    <mergeCell ref="H14:I14"/>
    <mergeCell ref="J14:K14"/>
    <mergeCell ref="B12:L12"/>
    <mergeCell ref="B13:D13"/>
    <mergeCell ref="E13:G13"/>
    <mergeCell ref="H13:I13"/>
    <mergeCell ref="J13:K13"/>
    <mergeCell ref="B14:D14"/>
    <mergeCell ref="E14:G14"/>
    <mergeCell ref="H18:I18"/>
    <mergeCell ref="J18:K18"/>
    <mergeCell ref="B27:E27"/>
    <mergeCell ref="F27:G27"/>
    <mergeCell ref="H27:I27"/>
    <mergeCell ref="J27:L27"/>
    <mergeCell ref="F28:G28"/>
    <mergeCell ref="H28:I28"/>
    <mergeCell ref="J28:L28"/>
    <mergeCell ref="B28:E28"/>
    <mergeCell ref="B29:E29"/>
    <mergeCell ref="F29:G29"/>
    <mergeCell ref="H29:I29"/>
    <mergeCell ref="J29:L29"/>
    <mergeCell ref="B30:E30"/>
    <mergeCell ref="F30:G30"/>
    <mergeCell ref="F32:G32"/>
    <mergeCell ref="H32:I32"/>
    <mergeCell ref="H30:I30"/>
    <mergeCell ref="J30:L30"/>
    <mergeCell ref="B31:E31"/>
    <mergeCell ref="F31:G31"/>
    <mergeCell ref="H31:I31"/>
    <mergeCell ref="J31:L31"/>
    <mergeCell ref="J32:L32"/>
    <mergeCell ref="B32:E32"/>
    <mergeCell ref="B33:E33"/>
    <mergeCell ref="F33:G33"/>
    <mergeCell ref="H33:I33"/>
    <mergeCell ref="J33:L33"/>
    <mergeCell ref="B35:L35"/>
    <mergeCell ref="I36:L36"/>
    <mergeCell ref="B36:H36"/>
    <mergeCell ref="B37:H37"/>
    <mergeCell ref="I37:L37"/>
    <mergeCell ref="B38:H38"/>
    <mergeCell ref="I38:L38"/>
    <mergeCell ref="B39:H39"/>
    <mergeCell ref="I39:L39"/>
    <mergeCell ref="B15:D15"/>
    <mergeCell ref="E15:G15"/>
    <mergeCell ref="H15:I15"/>
    <mergeCell ref="J15:K15"/>
    <mergeCell ref="E16:G16"/>
    <mergeCell ref="H16:I16"/>
    <mergeCell ref="J16:K16"/>
    <mergeCell ref="B16:D16"/>
    <mergeCell ref="B17:D17"/>
    <mergeCell ref="E17:G17"/>
    <mergeCell ref="H17:I17"/>
    <mergeCell ref="J17:K17"/>
    <mergeCell ref="B18:D18"/>
    <mergeCell ref="E18:G18"/>
    <mergeCell ref="B19:G19"/>
    <mergeCell ref="H19:L19"/>
    <mergeCell ref="B21:L21"/>
    <mergeCell ref="B22:E22"/>
    <mergeCell ref="F22:G22"/>
    <mergeCell ref="H22:I22"/>
    <mergeCell ref="J22:L22"/>
    <mergeCell ref="B23:E23"/>
    <mergeCell ref="F23:G23"/>
    <mergeCell ref="H23:I23"/>
    <mergeCell ref="J23:L23"/>
    <mergeCell ref="F24:G24"/>
    <mergeCell ref="H24:I24"/>
    <mergeCell ref="J24:L24"/>
    <mergeCell ref="H26:I26"/>
    <mergeCell ref="J26:L26"/>
    <mergeCell ref="B24:E24"/>
    <mergeCell ref="B25:E25"/>
    <mergeCell ref="F25:G25"/>
    <mergeCell ref="H25:I25"/>
    <mergeCell ref="J25:L25"/>
    <mergeCell ref="B26:E26"/>
    <mergeCell ref="F26:G26"/>
    <mergeCell ref="B40:H40"/>
    <mergeCell ref="I40:L40"/>
    <mergeCell ref="B41:H41"/>
    <mergeCell ref="I41:L41"/>
    <mergeCell ref="B42:H42"/>
    <mergeCell ref="I42:L42"/>
    <mergeCell ref="B43:L43"/>
  </mergeCells>
  <dataValidations>
    <dataValidation type="list" allowBlank="1" showErrorMessage="1" sqref="L8">
      <formula1>'_Lists'!$M$2:$M$7</formula1>
    </dataValidation>
    <dataValidation type="list" allowBlank="1" showErrorMessage="1" sqref="I9">
      <formula1>'_Lists'!$I$2:$I$7</formula1>
    </dataValidation>
    <dataValidation type="list" allowBlank="1" showErrorMessage="1" sqref="F10">
      <formula1>'_Lists'!$Q$2:$Q$8</formula1>
    </dataValidation>
    <dataValidation type="list" allowBlank="1" showErrorMessage="1" sqref="H14:H18">
      <formula1>'_Lists'!$D$2:$D$6</formula1>
    </dataValidation>
    <dataValidation type="list" allowBlank="1" showErrorMessage="1" sqref="J14:J18">
      <formula1>'_Lists'!$A$2:$A$3</formula1>
    </dataValidation>
    <dataValidation type="list" allowBlank="1" showErrorMessage="1" sqref="C8">
      <formula1>'_Lists'!$J$2:$J$8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0" customHeight="1">
      <c r="A1" s="33" t="s">
        <v>59</v>
      </c>
      <c r="B1" s="33" t="s">
        <v>60</v>
      </c>
      <c r="C1" s="33" t="s">
        <v>61</v>
      </c>
      <c r="D1" s="33" t="s">
        <v>62</v>
      </c>
      <c r="E1" s="33" t="s">
        <v>63</v>
      </c>
      <c r="F1" s="33" t="s">
        <v>64</v>
      </c>
      <c r="G1" s="33" t="s">
        <v>65</v>
      </c>
      <c r="H1" s="33" t="s">
        <v>66</v>
      </c>
      <c r="I1" s="33" t="s">
        <v>67</v>
      </c>
      <c r="J1" s="33" t="s">
        <v>68</v>
      </c>
      <c r="K1" s="33" t="s">
        <v>69</v>
      </c>
      <c r="L1" s="33" t="s">
        <v>70</v>
      </c>
      <c r="M1" s="33" t="s">
        <v>71</v>
      </c>
      <c r="N1" s="33" t="s">
        <v>72</v>
      </c>
      <c r="O1" s="33" t="s">
        <v>73</v>
      </c>
      <c r="P1" s="33" t="s">
        <v>74</v>
      </c>
      <c r="Q1" s="33" t="s">
        <v>75</v>
      </c>
      <c r="R1" s="33" t="s">
        <v>76</v>
      </c>
    </row>
    <row r="2" ht="15.0" customHeight="1">
      <c r="A2" s="1" t="s">
        <v>77</v>
      </c>
      <c r="B2" s="1" t="s">
        <v>77</v>
      </c>
      <c r="C2" s="1" t="s">
        <v>77</v>
      </c>
      <c r="D2" s="1" t="s">
        <v>78</v>
      </c>
      <c r="E2" s="1" t="s">
        <v>79</v>
      </c>
      <c r="F2" s="1" t="s">
        <v>80</v>
      </c>
      <c r="G2" s="1" t="s">
        <v>81</v>
      </c>
      <c r="H2" s="1" t="s">
        <v>82</v>
      </c>
      <c r="I2" s="1" t="s">
        <v>83</v>
      </c>
      <c r="J2" s="1" t="s">
        <v>84</v>
      </c>
      <c r="K2" s="1" t="s">
        <v>85</v>
      </c>
      <c r="L2" s="1" t="s">
        <v>86</v>
      </c>
      <c r="M2" s="1" t="s">
        <v>87</v>
      </c>
      <c r="N2" s="1" t="s">
        <v>88</v>
      </c>
      <c r="O2" s="1" t="s">
        <v>89</v>
      </c>
      <c r="P2" s="1" t="s">
        <v>90</v>
      </c>
      <c r="Q2" s="1" t="s">
        <v>91</v>
      </c>
      <c r="R2" s="1" t="s">
        <v>92</v>
      </c>
    </row>
    <row r="3" ht="15.0" customHeight="1">
      <c r="A3" s="1" t="s">
        <v>93</v>
      </c>
      <c r="B3" s="1" t="s">
        <v>93</v>
      </c>
      <c r="C3" s="1" t="s">
        <v>93</v>
      </c>
      <c r="D3" s="1" t="s">
        <v>94</v>
      </c>
      <c r="E3" s="1" t="s">
        <v>95</v>
      </c>
      <c r="F3" s="1" t="s">
        <v>96</v>
      </c>
      <c r="G3" s="1" t="s">
        <v>97</v>
      </c>
      <c r="H3" s="1" t="s">
        <v>98</v>
      </c>
      <c r="I3" s="1" t="s">
        <v>99</v>
      </c>
      <c r="J3" s="1" t="s">
        <v>100</v>
      </c>
      <c r="K3" s="1" t="s">
        <v>101</v>
      </c>
      <c r="L3" s="1" t="s">
        <v>102</v>
      </c>
      <c r="M3" s="1" t="s">
        <v>103</v>
      </c>
      <c r="N3" s="1" t="s">
        <v>104</v>
      </c>
      <c r="O3" s="1" t="s">
        <v>105</v>
      </c>
      <c r="P3" s="1" t="s">
        <v>106</v>
      </c>
      <c r="Q3" s="1" t="s">
        <v>107</v>
      </c>
      <c r="R3" s="1" t="s">
        <v>108</v>
      </c>
    </row>
    <row r="4" ht="15.0" customHeight="1">
      <c r="B4" s="1" t="s">
        <v>109</v>
      </c>
      <c r="C4" s="1" t="s">
        <v>110</v>
      </c>
      <c r="D4" s="1" t="s">
        <v>111</v>
      </c>
      <c r="E4" s="1" t="s">
        <v>112</v>
      </c>
      <c r="F4" s="1" t="s">
        <v>113</v>
      </c>
      <c r="G4" s="1" t="s">
        <v>114</v>
      </c>
      <c r="H4" s="1" t="s">
        <v>115</v>
      </c>
      <c r="I4" s="1" t="s">
        <v>116</v>
      </c>
      <c r="J4" s="1" t="s">
        <v>117</v>
      </c>
      <c r="K4" s="1" t="s">
        <v>118</v>
      </c>
      <c r="L4" s="1" t="s">
        <v>118</v>
      </c>
      <c r="M4" s="1" t="s">
        <v>119</v>
      </c>
      <c r="N4" s="1" t="s">
        <v>120</v>
      </c>
      <c r="O4" s="1" t="s">
        <v>121</v>
      </c>
      <c r="P4" s="1" t="s">
        <v>122</v>
      </c>
      <c r="Q4" s="1" t="s">
        <v>123</v>
      </c>
      <c r="R4" s="1" t="s">
        <v>124</v>
      </c>
    </row>
    <row r="5" ht="15.0" customHeight="1">
      <c r="D5" s="1" t="s">
        <v>125</v>
      </c>
      <c r="E5" s="1" t="s">
        <v>126</v>
      </c>
      <c r="F5" s="1" t="s">
        <v>127</v>
      </c>
      <c r="G5" s="1" t="s">
        <v>128</v>
      </c>
      <c r="H5" s="1" t="s">
        <v>129</v>
      </c>
      <c r="I5" s="1" t="s">
        <v>130</v>
      </c>
      <c r="J5" s="1" t="s">
        <v>131</v>
      </c>
      <c r="K5" s="1" t="s">
        <v>132</v>
      </c>
      <c r="L5" s="1" t="s">
        <v>133</v>
      </c>
      <c r="M5" s="1" t="s">
        <v>134</v>
      </c>
      <c r="N5" s="1" t="s">
        <v>135</v>
      </c>
      <c r="O5" s="1" t="s">
        <v>136</v>
      </c>
      <c r="P5" s="1" t="s">
        <v>137</v>
      </c>
      <c r="Q5" s="1" t="s">
        <v>138</v>
      </c>
      <c r="R5" s="1" t="s">
        <v>139</v>
      </c>
    </row>
    <row r="6" ht="15.0" customHeight="1">
      <c r="D6" s="1" t="s">
        <v>140</v>
      </c>
      <c r="E6" s="1" t="s">
        <v>141</v>
      </c>
      <c r="F6" s="1" t="s">
        <v>142</v>
      </c>
      <c r="G6" s="1" t="s">
        <v>143</v>
      </c>
      <c r="H6" s="1" t="s">
        <v>144</v>
      </c>
      <c r="I6" s="1" t="s">
        <v>145</v>
      </c>
      <c r="J6" s="1" t="s">
        <v>146</v>
      </c>
      <c r="K6" s="1" t="s">
        <v>147</v>
      </c>
      <c r="L6" s="1" t="s">
        <v>148</v>
      </c>
      <c r="M6" s="1" t="s">
        <v>135</v>
      </c>
      <c r="N6" s="1" t="s">
        <v>149</v>
      </c>
      <c r="O6" s="1" t="s">
        <v>150</v>
      </c>
      <c r="P6" s="1" t="s">
        <v>151</v>
      </c>
      <c r="Q6" s="1" t="s">
        <v>152</v>
      </c>
      <c r="R6" s="1" t="s">
        <v>153</v>
      </c>
    </row>
    <row r="7" ht="15.0" customHeight="1">
      <c r="E7" s="1" t="s">
        <v>154</v>
      </c>
      <c r="F7" s="1" t="s">
        <v>155</v>
      </c>
      <c r="G7" s="1" t="s">
        <v>156</v>
      </c>
      <c r="H7" s="1" t="s">
        <v>157</v>
      </c>
      <c r="I7" s="1" t="s">
        <v>158</v>
      </c>
      <c r="J7" s="1" t="s">
        <v>159</v>
      </c>
      <c r="K7" s="1" t="s">
        <v>160</v>
      </c>
      <c r="M7" s="1" t="s">
        <v>161</v>
      </c>
      <c r="N7" s="1" t="s">
        <v>162</v>
      </c>
      <c r="O7" s="1" t="s">
        <v>163</v>
      </c>
      <c r="Q7" s="1" t="s">
        <v>164</v>
      </c>
    </row>
    <row r="8" ht="15.0" customHeight="1">
      <c r="E8" s="1" t="s">
        <v>165</v>
      </c>
      <c r="F8" s="1" t="s">
        <v>161</v>
      </c>
      <c r="G8" s="1" t="s">
        <v>166</v>
      </c>
      <c r="H8" s="1" t="s">
        <v>167</v>
      </c>
      <c r="J8" s="1" t="s">
        <v>168</v>
      </c>
      <c r="N8" s="1" t="s">
        <v>161</v>
      </c>
      <c r="O8" s="1" t="s">
        <v>169</v>
      </c>
      <c r="Q8" s="1" t="s">
        <v>161</v>
      </c>
    </row>
    <row r="9" ht="15.0" customHeight="1">
      <c r="E9" s="1" t="s">
        <v>170</v>
      </c>
      <c r="G9" s="1" t="s">
        <v>171</v>
      </c>
      <c r="H9" s="1" t="s">
        <v>172</v>
      </c>
    </row>
    <row r="10" ht="15.0" customHeight="1">
      <c r="E10" s="1" t="s">
        <v>173</v>
      </c>
      <c r="G10" s="1" t="s">
        <v>174</v>
      </c>
      <c r="H10" s="1" t="s">
        <v>175</v>
      </c>
    </row>
    <row r="11" ht="15.0" customHeight="1">
      <c r="E11" s="1" t="s">
        <v>176</v>
      </c>
      <c r="G11" s="1" t="s">
        <v>177</v>
      </c>
      <c r="H11" s="1" t="s">
        <v>161</v>
      </c>
    </row>
    <row r="12" ht="15.0" customHeight="1">
      <c r="E12" s="1" t="s">
        <v>178</v>
      </c>
    </row>
    <row r="13" ht="15.0" customHeight="1">
      <c r="E13" s="1" t="s">
        <v>179</v>
      </c>
    </row>
    <row r="14" ht="15.0" customHeight="1">
      <c r="E14" s="1" t="s">
        <v>180</v>
      </c>
    </row>
    <row r="15" ht="15.0" customHeight="1">
      <c r="E15" s="1" t="s">
        <v>114</v>
      </c>
    </row>
    <row r="16" ht="15.0" customHeight="1">
      <c r="E16" s="1" t="s">
        <v>181</v>
      </c>
    </row>
    <row r="17" ht="15.0" customHeight="1">
      <c r="E17" s="1" t="s">
        <v>182</v>
      </c>
    </row>
    <row r="18" ht="15.0" customHeight="1">
      <c r="E18" s="1" t="s">
        <v>161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D6E6E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3" width="20.0"/>
    <col customWidth="1" min="4" max="5" width="16.0"/>
    <col customWidth="1" min="6" max="6" width="14.0"/>
    <col customWidth="1" min="7" max="7" width="10.0"/>
    <col customWidth="1" min="8" max="8" width="12.0"/>
    <col customWidth="1" min="9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</row>
    <row r="2" ht="48.0" customHeight="1">
      <c r="A2" s="1"/>
      <c r="B2" s="34" t="s">
        <v>183</v>
      </c>
      <c r="C2" s="3"/>
      <c r="D2" s="3"/>
      <c r="E2" s="3"/>
      <c r="F2" s="3"/>
      <c r="G2" s="3"/>
      <c r="H2" s="4"/>
      <c r="I2" s="1"/>
    </row>
    <row r="3" ht="19.5" customHeight="1">
      <c r="A3" s="1"/>
      <c r="B3" s="35" t="s">
        <v>184</v>
      </c>
      <c r="C3" s="3"/>
      <c r="D3" s="3"/>
      <c r="E3" s="3"/>
      <c r="F3" s="3"/>
      <c r="G3" s="3"/>
      <c r="H3" s="4"/>
      <c r="I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</row>
    <row r="5" ht="21.75" customHeight="1">
      <c r="A5" s="1"/>
      <c r="B5" s="6" t="s">
        <v>185</v>
      </c>
      <c r="C5" s="3"/>
      <c r="D5" s="3"/>
      <c r="E5" s="3"/>
      <c r="F5" s="3"/>
      <c r="G5" s="3"/>
      <c r="H5" s="4"/>
      <c r="I5" s="1"/>
    </row>
    <row r="6" ht="19.5" customHeight="1">
      <c r="A6" s="1"/>
      <c r="B6" s="36" t="s">
        <v>186</v>
      </c>
      <c r="C6" s="36" t="s">
        <v>187</v>
      </c>
      <c r="D6" s="36" t="s">
        <v>188</v>
      </c>
      <c r="E6" s="36" t="s">
        <v>189</v>
      </c>
      <c r="F6" s="36" t="s">
        <v>190</v>
      </c>
      <c r="G6" s="36" t="s">
        <v>191</v>
      </c>
      <c r="H6" s="36" t="s">
        <v>28</v>
      </c>
      <c r="I6" s="1"/>
    </row>
    <row r="7" ht="21.75" customHeight="1">
      <c r="A7" s="1"/>
      <c r="B7" s="10"/>
      <c r="C7" s="10"/>
      <c r="D7" s="37"/>
      <c r="E7" s="37"/>
      <c r="F7" s="38">
        <f t="shared" ref="F7:F18" si="1">IFERROR(D7-E7,"")</f>
        <v>0</v>
      </c>
      <c r="G7" s="10"/>
      <c r="H7" s="10"/>
      <c r="I7" s="1"/>
    </row>
    <row r="8" ht="21.75" customHeight="1">
      <c r="A8" s="1"/>
      <c r="B8" s="10"/>
      <c r="C8" s="10"/>
      <c r="D8" s="37"/>
      <c r="E8" s="37"/>
      <c r="F8" s="38">
        <f t="shared" si="1"/>
        <v>0</v>
      </c>
      <c r="G8" s="10"/>
      <c r="H8" s="10"/>
      <c r="I8" s="1"/>
    </row>
    <row r="9" ht="21.75" customHeight="1">
      <c r="A9" s="1"/>
      <c r="B9" s="10"/>
      <c r="C9" s="10"/>
      <c r="D9" s="37"/>
      <c r="E9" s="37"/>
      <c r="F9" s="38">
        <f t="shared" si="1"/>
        <v>0</v>
      </c>
      <c r="G9" s="10"/>
      <c r="H9" s="10"/>
      <c r="I9" s="1"/>
    </row>
    <row r="10" ht="21.75" customHeight="1">
      <c r="A10" s="1"/>
      <c r="B10" s="10"/>
      <c r="C10" s="10"/>
      <c r="D10" s="37"/>
      <c r="E10" s="37"/>
      <c r="F10" s="38">
        <f t="shared" si="1"/>
        <v>0</v>
      </c>
      <c r="G10" s="10"/>
      <c r="H10" s="10"/>
      <c r="I10" s="1"/>
    </row>
    <row r="11" ht="21.75" customHeight="1">
      <c r="A11" s="1"/>
      <c r="B11" s="10"/>
      <c r="C11" s="10"/>
      <c r="D11" s="37"/>
      <c r="E11" s="37"/>
      <c r="F11" s="38">
        <f t="shared" si="1"/>
        <v>0</v>
      </c>
      <c r="G11" s="10"/>
      <c r="H11" s="10"/>
      <c r="I11" s="1"/>
    </row>
    <row r="12" ht="21.75" customHeight="1">
      <c r="A12" s="1"/>
      <c r="B12" s="10"/>
      <c r="C12" s="10"/>
      <c r="D12" s="37"/>
      <c r="E12" s="37"/>
      <c r="F12" s="38">
        <f t="shared" si="1"/>
        <v>0</v>
      </c>
      <c r="G12" s="10"/>
      <c r="H12" s="10"/>
      <c r="I12" s="1"/>
    </row>
    <row r="13" ht="21.75" customHeight="1">
      <c r="A13" s="1"/>
      <c r="B13" s="10"/>
      <c r="C13" s="10"/>
      <c r="D13" s="37"/>
      <c r="E13" s="37"/>
      <c r="F13" s="38">
        <f t="shared" si="1"/>
        <v>0</v>
      </c>
      <c r="G13" s="10"/>
      <c r="H13" s="10"/>
      <c r="I13" s="1"/>
    </row>
    <row r="14" ht="21.75" customHeight="1">
      <c r="A14" s="1"/>
      <c r="B14" s="10"/>
      <c r="C14" s="10"/>
      <c r="D14" s="37"/>
      <c r="E14" s="37"/>
      <c r="F14" s="38">
        <f t="shared" si="1"/>
        <v>0</v>
      </c>
      <c r="G14" s="10"/>
      <c r="H14" s="10"/>
      <c r="I14" s="1"/>
    </row>
    <row r="15" ht="21.75" customHeight="1">
      <c r="A15" s="1"/>
      <c r="B15" s="10"/>
      <c r="C15" s="10"/>
      <c r="D15" s="37"/>
      <c r="E15" s="37"/>
      <c r="F15" s="38">
        <f t="shared" si="1"/>
        <v>0</v>
      </c>
      <c r="G15" s="10"/>
      <c r="H15" s="10"/>
      <c r="I15" s="1"/>
    </row>
    <row r="16" ht="21.75" customHeight="1">
      <c r="A16" s="1"/>
      <c r="B16" s="10"/>
      <c r="C16" s="10"/>
      <c r="D16" s="37"/>
      <c r="E16" s="37"/>
      <c r="F16" s="38">
        <f t="shared" si="1"/>
        <v>0</v>
      </c>
      <c r="G16" s="10"/>
      <c r="H16" s="10"/>
      <c r="I16" s="1"/>
    </row>
    <row r="17" ht="21.75" customHeight="1">
      <c r="A17" s="1"/>
      <c r="B17" s="10"/>
      <c r="C17" s="10"/>
      <c r="D17" s="37"/>
      <c r="E17" s="37"/>
      <c r="F17" s="38">
        <f t="shared" si="1"/>
        <v>0</v>
      </c>
      <c r="G17" s="10"/>
      <c r="H17" s="10"/>
      <c r="I17" s="1"/>
    </row>
    <row r="18" ht="21.75" customHeight="1">
      <c r="A18" s="1"/>
      <c r="B18" s="10"/>
      <c r="C18" s="10"/>
      <c r="D18" s="37"/>
      <c r="E18" s="37"/>
      <c r="F18" s="38">
        <f t="shared" si="1"/>
        <v>0</v>
      </c>
      <c r="G18" s="10"/>
      <c r="H18" s="10"/>
      <c r="I18" s="1"/>
    </row>
    <row r="19" ht="27.75" customHeight="1">
      <c r="A19" s="1"/>
      <c r="B19" s="39" t="s">
        <v>192</v>
      </c>
      <c r="C19" s="9"/>
      <c r="D19" s="40">
        <f>IFERROR(SUM(D7,D8,D9,D10,D11,D12,D13,D14,D15,D16,D17,D18),0)</f>
        <v>0</v>
      </c>
      <c r="E19" s="41"/>
      <c r="F19" s="41"/>
      <c r="G19" s="41"/>
      <c r="H19" s="41"/>
      <c r="I19" s="1"/>
    </row>
    <row r="20" ht="7.5" customHeight="1">
      <c r="A20" s="1"/>
      <c r="B20" s="1"/>
      <c r="C20" s="1"/>
      <c r="D20" s="1"/>
      <c r="E20" s="1"/>
      <c r="F20" s="1"/>
      <c r="G20" s="1"/>
      <c r="H20" s="1"/>
      <c r="I20" s="1"/>
    </row>
    <row r="21" ht="21.75" customHeight="1">
      <c r="A21" s="1"/>
      <c r="B21" s="42" t="s">
        <v>193</v>
      </c>
      <c r="C21" s="3"/>
      <c r="D21" s="3"/>
      <c r="E21" s="3"/>
      <c r="F21" s="3"/>
      <c r="G21" s="3"/>
      <c r="H21" s="4"/>
      <c r="I21" s="1"/>
    </row>
    <row r="22" ht="19.5" customHeight="1">
      <c r="A22" s="1"/>
      <c r="B22" s="43" t="s">
        <v>194</v>
      </c>
      <c r="C22" s="43" t="s">
        <v>195</v>
      </c>
      <c r="D22" s="43" t="s">
        <v>196</v>
      </c>
      <c r="E22" s="43" t="s">
        <v>197</v>
      </c>
      <c r="F22" s="43" t="s">
        <v>198</v>
      </c>
      <c r="G22" s="43" t="s">
        <v>199</v>
      </c>
      <c r="H22" s="43" t="s">
        <v>28</v>
      </c>
      <c r="I22" s="1"/>
    </row>
    <row r="23" ht="21.75" customHeight="1">
      <c r="A23" s="1"/>
      <c r="B23" s="10"/>
      <c r="C23" s="10"/>
      <c r="D23" s="37"/>
      <c r="E23" s="37"/>
      <c r="F23" s="44"/>
      <c r="G23" s="10"/>
      <c r="H23" s="10"/>
      <c r="I23" s="1"/>
    </row>
    <row r="24" ht="21.75" customHeight="1">
      <c r="A24" s="1"/>
      <c r="B24" s="10"/>
      <c r="C24" s="10"/>
      <c r="D24" s="37"/>
      <c r="E24" s="37"/>
      <c r="F24" s="44"/>
      <c r="G24" s="10"/>
      <c r="H24" s="10"/>
      <c r="I24" s="1"/>
    </row>
    <row r="25" ht="21.75" customHeight="1">
      <c r="A25" s="1"/>
      <c r="B25" s="10"/>
      <c r="C25" s="10"/>
      <c r="D25" s="37"/>
      <c r="E25" s="37"/>
      <c r="F25" s="44"/>
      <c r="G25" s="10"/>
      <c r="H25" s="10"/>
      <c r="I25" s="1"/>
    </row>
    <row r="26" ht="21.75" customHeight="1">
      <c r="A26" s="1"/>
      <c r="B26" s="10"/>
      <c r="C26" s="10"/>
      <c r="D26" s="37"/>
      <c r="E26" s="37"/>
      <c r="F26" s="44"/>
      <c r="G26" s="10"/>
      <c r="H26" s="10"/>
      <c r="I26" s="1"/>
    </row>
    <row r="27" ht="21.75" customHeight="1">
      <c r="A27" s="1"/>
      <c r="B27" s="10"/>
      <c r="C27" s="10"/>
      <c r="D27" s="37"/>
      <c r="E27" s="37"/>
      <c r="F27" s="44"/>
      <c r="G27" s="10"/>
      <c r="H27" s="10"/>
      <c r="I27" s="1"/>
    </row>
    <row r="28" ht="21.75" customHeight="1">
      <c r="A28" s="1"/>
      <c r="B28" s="10"/>
      <c r="C28" s="10"/>
      <c r="D28" s="37"/>
      <c r="E28" s="37"/>
      <c r="F28" s="44"/>
      <c r="G28" s="10"/>
      <c r="H28" s="10"/>
      <c r="I28" s="1"/>
    </row>
    <row r="29" ht="21.75" customHeight="1">
      <c r="A29" s="1"/>
      <c r="B29" s="10"/>
      <c r="C29" s="10"/>
      <c r="D29" s="37"/>
      <c r="E29" s="37"/>
      <c r="F29" s="44"/>
      <c r="G29" s="10"/>
      <c r="H29" s="10"/>
      <c r="I29" s="1"/>
    </row>
    <row r="30" ht="27.75" customHeight="1">
      <c r="A30" s="1"/>
      <c r="B30" s="45" t="s">
        <v>200</v>
      </c>
      <c r="C30" s="9"/>
      <c r="D30" s="46">
        <f t="shared" ref="D30:E30" si="2">IFERROR(SUM(D23,D24,D25,D26,D27,D28,D29),0)</f>
        <v>0</v>
      </c>
      <c r="E30" s="47">
        <f t="shared" si="2"/>
        <v>0</v>
      </c>
      <c r="F30" s="41"/>
      <c r="G30" s="41"/>
      <c r="H30" s="41"/>
      <c r="I30" s="1"/>
    </row>
    <row r="31" ht="7.5" customHeight="1">
      <c r="A31" s="1"/>
      <c r="B31" s="1"/>
      <c r="C31" s="1"/>
      <c r="D31" s="1"/>
      <c r="E31" s="1"/>
      <c r="F31" s="1"/>
      <c r="G31" s="1"/>
      <c r="H31" s="1"/>
      <c r="I31" s="1"/>
    </row>
    <row r="32" ht="33.75" customHeight="1">
      <c r="A32" s="1"/>
      <c r="B32" s="48" t="s">
        <v>201</v>
      </c>
      <c r="C32" s="9"/>
      <c r="D32" s="49">
        <f>IFERROR(D19-D30,0)</f>
        <v>0</v>
      </c>
      <c r="E32" s="41"/>
      <c r="F32" s="41"/>
      <c r="G32" s="41"/>
      <c r="H32" s="41"/>
      <c r="I32" s="1"/>
    </row>
    <row r="33" ht="24.0" customHeight="1">
      <c r="A33" s="1"/>
      <c r="B33" s="28" t="s">
        <v>202</v>
      </c>
      <c r="C33" s="4"/>
      <c r="D33" s="50">
        <f>IFERROR(D30/D19,0)</f>
        <v>0</v>
      </c>
      <c r="E33" s="1"/>
      <c r="F33" s="1"/>
      <c r="G33" s="1"/>
      <c r="H33" s="1"/>
      <c r="I33" s="1"/>
    </row>
    <row r="34" ht="15.75" customHeight="1">
      <c r="A34" s="1"/>
      <c r="B34" s="30" t="s">
        <v>203</v>
      </c>
      <c r="C34" s="31"/>
      <c r="D34" s="31"/>
      <c r="E34" s="31"/>
      <c r="F34" s="31"/>
      <c r="G34" s="31"/>
      <c r="H34" s="32"/>
      <c r="I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9">
    <mergeCell ref="B33:C33"/>
    <mergeCell ref="B34:H34"/>
    <mergeCell ref="B2:H2"/>
    <mergeCell ref="B3:H3"/>
    <mergeCell ref="B5:H5"/>
    <mergeCell ref="B19:C19"/>
    <mergeCell ref="B21:H21"/>
    <mergeCell ref="B30:C30"/>
    <mergeCell ref="B32:C32"/>
  </mergeCells>
  <dataValidations>
    <dataValidation type="list" allowBlank="1" showErrorMessage="1" sqref="C7:C18">
      <formula1>'_Lists'!$E$2:$E$18</formula1>
    </dataValidation>
    <dataValidation type="list" allowBlank="1" showErrorMessage="1" sqref="C23:C29">
      <formula1>'_Lists'!$F$2:$F$8</formula1>
    </dataValidation>
    <dataValidation type="list" allowBlank="1" showErrorMessage="1" sqref="G7:G18">
      <formula1>'_Lists'!$A$2:$A$3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B46C1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2.0"/>
    <col customWidth="1" min="3" max="3" width="18.0"/>
    <col customWidth="1" min="4" max="4" width="16.0"/>
    <col customWidth="1" min="5" max="7" width="14.0"/>
    <col customWidth="1" min="8" max="8" width="12.0"/>
    <col customWidth="1" min="9" max="9" width="10.0"/>
    <col customWidth="1" min="10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  <c r="J1" s="1"/>
    </row>
    <row r="2" ht="48.0" customHeight="1">
      <c r="A2" s="1"/>
      <c r="B2" s="51" t="s">
        <v>204</v>
      </c>
      <c r="C2" s="3"/>
      <c r="D2" s="3"/>
      <c r="E2" s="3"/>
      <c r="F2" s="3"/>
      <c r="G2" s="3"/>
      <c r="H2" s="3"/>
      <c r="I2" s="4"/>
      <c r="J2" s="1"/>
    </row>
    <row r="3" ht="19.5" customHeight="1">
      <c r="A3" s="1"/>
      <c r="B3" s="35" t="s">
        <v>205</v>
      </c>
      <c r="C3" s="3"/>
      <c r="D3" s="3"/>
      <c r="E3" s="3"/>
      <c r="F3" s="3"/>
      <c r="G3" s="3"/>
      <c r="H3" s="3"/>
      <c r="I3" s="4"/>
      <c r="J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  <c r="J4" s="1"/>
    </row>
    <row r="5" ht="21.75" customHeight="1">
      <c r="A5" s="1"/>
      <c r="B5" s="52" t="s">
        <v>206</v>
      </c>
      <c r="C5" s="3"/>
      <c r="D5" s="3"/>
      <c r="E5" s="3"/>
      <c r="F5" s="3"/>
      <c r="G5" s="3"/>
      <c r="H5" s="3"/>
      <c r="I5" s="4"/>
      <c r="J5" s="1"/>
    </row>
    <row r="6" ht="19.5" customHeight="1">
      <c r="A6" s="1"/>
      <c r="B6" s="53" t="s">
        <v>207</v>
      </c>
      <c r="C6" s="53" t="s">
        <v>195</v>
      </c>
      <c r="D6" s="53" t="s">
        <v>208</v>
      </c>
      <c r="E6" s="53" t="s">
        <v>209</v>
      </c>
      <c r="F6" s="53" t="s">
        <v>210</v>
      </c>
      <c r="G6" s="53" t="s">
        <v>211</v>
      </c>
      <c r="H6" s="53" t="s">
        <v>212</v>
      </c>
      <c r="I6" s="53" t="s">
        <v>213</v>
      </c>
      <c r="J6" s="1"/>
    </row>
    <row r="7" ht="21.75" customHeight="1">
      <c r="A7" s="1"/>
      <c r="B7" s="10"/>
      <c r="C7" s="10"/>
      <c r="D7" s="37"/>
      <c r="E7" s="37"/>
      <c r="F7" s="10"/>
      <c r="G7" s="10"/>
      <c r="H7" s="10"/>
      <c r="I7" s="10"/>
      <c r="J7" s="1"/>
    </row>
    <row r="8" ht="21.75" customHeight="1">
      <c r="A8" s="1"/>
      <c r="B8" s="10"/>
      <c r="C8" s="10"/>
      <c r="D8" s="37"/>
      <c r="E8" s="37"/>
      <c r="F8" s="10"/>
      <c r="G8" s="10"/>
      <c r="H8" s="10"/>
      <c r="I8" s="10"/>
      <c r="J8" s="1"/>
    </row>
    <row r="9" ht="21.75" customHeight="1">
      <c r="A9" s="1"/>
      <c r="B9" s="10"/>
      <c r="C9" s="10"/>
      <c r="D9" s="37"/>
      <c r="E9" s="37"/>
      <c r="F9" s="10"/>
      <c r="G9" s="10"/>
      <c r="H9" s="10"/>
      <c r="I9" s="10"/>
      <c r="J9" s="1"/>
    </row>
    <row r="10" ht="21.75" customHeight="1">
      <c r="A10" s="1"/>
      <c r="B10" s="10"/>
      <c r="C10" s="10"/>
      <c r="D10" s="37"/>
      <c r="E10" s="37"/>
      <c r="F10" s="10"/>
      <c r="G10" s="10"/>
      <c r="H10" s="10"/>
      <c r="I10" s="10"/>
      <c r="J10" s="1"/>
    </row>
    <row r="11" ht="21.75" customHeight="1">
      <c r="A11" s="1"/>
      <c r="B11" s="10"/>
      <c r="C11" s="10"/>
      <c r="D11" s="37"/>
      <c r="E11" s="37"/>
      <c r="F11" s="10"/>
      <c r="G11" s="10"/>
      <c r="H11" s="10"/>
      <c r="I11" s="10"/>
      <c r="J11" s="1"/>
    </row>
    <row r="12" ht="25.5" customHeight="1">
      <c r="A12" s="1"/>
      <c r="B12" s="18" t="s">
        <v>214</v>
      </c>
      <c r="C12" s="9"/>
      <c r="D12" s="54">
        <f t="shared" ref="D12:E12" si="1">IFERROR(SUM(D7,D8,D9,D10,D11),0)</f>
        <v>0</v>
      </c>
      <c r="E12" s="54">
        <f t="shared" si="1"/>
        <v>0</v>
      </c>
      <c r="F12" s="41"/>
      <c r="G12" s="41"/>
      <c r="H12" s="41"/>
      <c r="I12" s="41"/>
      <c r="J12" s="1"/>
    </row>
    <row r="13" ht="7.5" customHeight="1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ht="21.75" customHeight="1">
      <c r="A14" s="1"/>
      <c r="B14" s="6" t="s">
        <v>215</v>
      </c>
      <c r="C14" s="3"/>
      <c r="D14" s="3"/>
      <c r="E14" s="3"/>
      <c r="F14" s="3"/>
      <c r="G14" s="3"/>
      <c r="H14" s="3"/>
      <c r="I14" s="4"/>
      <c r="J14" s="1"/>
    </row>
    <row r="15" ht="25.5" customHeight="1">
      <c r="A15" s="1"/>
      <c r="B15" s="55" t="s">
        <v>216</v>
      </c>
      <c r="C15" s="3"/>
      <c r="D15" s="3"/>
      <c r="E15" s="3"/>
      <c r="F15" s="3"/>
      <c r="G15" s="3"/>
      <c r="H15" s="4"/>
      <c r="I15" s="56"/>
      <c r="J15" s="1"/>
    </row>
    <row r="16" ht="25.5" customHeight="1">
      <c r="A16" s="1"/>
      <c r="B16" s="57" t="s">
        <v>217</v>
      </c>
      <c r="C16" s="3"/>
      <c r="D16" s="3"/>
      <c r="E16" s="3"/>
      <c r="F16" s="3"/>
      <c r="G16" s="3"/>
      <c r="H16" s="4"/>
      <c r="I16" s="58">
        <f>IFERROR(I15*10,0)</f>
        <v>0</v>
      </c>
      <c r="J16" s="1"/>
    </row>
    <row r="17" ht="25.5" customHeight="1">
      <c r="A17" s="1"/>
      <c r="B17" s="55" t="s">
        <v>218</v>
      </c>
      <c r="C17" s="3"/>
      <c r="D17" s="3"/>
      <c r="E17" s="3"/>
      <c r="F17" s="3"/>
      <c r="G17" s="3"/>
      <c r="H17" s="4"/>
      <c r="I17" s="58">
        <f>D12</f>
        <v>0</v>
      </c>
      <c r="J17" s="1"/>
    </row>
    <row r="18" ht="25.5" customHeight="1">
      <c r="A18" s="1"/>
      <c r="B18" s="57" t="s">
        <v>219</v>
      </c>
      <c r="C18" s="3"/>
      <c r="D18" s="3"/>
      <c r="E18" s="3"/>
      <c r="F18" s="3"/>
      <c r="G18" s="3"/>
      <c r="H18" s="4"/>
      <c r="I18" s="47">
        <f>IFERROR(I16-I17,0)</f>
        <v>0</v>
      </c>
      <c r="J18" s="1"/>
    </row>
    <row r="19" ht="7.5" customHeight="1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ht="21.75" customHeight="1">
      <c r="A20" s="1"/>
      <c r="B20" s="59" t="s">
        <v>220</v>
      </c>
      <c r="C20" s="3"/>
      <c r="D20" s="3"/>
      <c r="E20" s="3"/>
      <c r="F20" s="3"/>
      <c r="G20" s="3"/>
      <c r="H20" s="3"/>
      <c r="I20" s="4"/>
      <c r="J20" s="1"/>
    </row>
    <row r="21" ht="19.5" customHeight="1">
      <c r="A21" s="1"/>
      <c r="B21" s="60" t="s">
        <v>221</v>
      </c>
      <c r="C21" s="60" t="s">
        <v>195</v>
      </c>
      <c r="D21" s="60" t="s">
        <v>222</v>
      </c>
      <c r="E21" s="60" t="s">
        <v>223</v>
      </c>
      <c r="F21" s="60" t="s">
        <v>224</v>
      </c>
      <c r="G21" s="60" t="s">
        <v>225</v>
      </c>
      <c r="H21" s="60" t="s">
        <v>226</v>
      </c>
      <c r="I21" s="60" t="s">
        <v>227</v>
      </c>
      <c r="J21" s="1"/>
    </row>
    <row r="22" ht="21.75" customHeight="1">
      <c r="A22" s="1"/>
      <c r="B22" s="10"/>
      <c r="C22" s="10"/>
      <c r="D22" s="37"/>
      <c r="E22" s="37"/>
      <c r="F22" s="10"/>
      <c r="G22" s="10"/>
      <c r="H22" s="10"/>
      <c r="I22" s="10"/>
      <c r="J22" s="1"/>
    </row>
    <row r="23" ht="21.75" customHeight="1">
      <c r="A23" s="1"/>
      <c r="B23" s="10"/>
      <c r="C23" s="10"/>
      <c r="D23" s="37"/>
      <c r="E23" s="37"/>
      <c r="F23" s="10"/>
      <c r="G23" s="10"/>
      <c r="H23" s="10"/>
      <c r="I23" s="10"/>
      <c r="J23" s="1"/>
    </row>
    <row r="24" ht="21.75" customHeight="1">
      <c r="A24" s="1"/>
      <c r="B24" s="10"/>
      <c r="C24" s="10"/>
      <c r="D24" s="37"/>
      <c r="E24" s="37"/>
      <c r="F24" s="10"/>
      <c r="G24" s="10"/>
      <c r="H24" s="10"/>
      <c r="I24" s="10"/>
      <c r="J24" s="1"/>
    </row>
    <row r="25" ht="21.75" customHeight="1">
      <c r="A25" s="1"/>
      <c r="B25" s="10"/>
      <c r="C25" s="10"/>
      <c r="D25" s="37"/>
      <c r="E25" s="37"/>
      <c r="F25" s="10"/>
      <c r="G25" s="10"/>
      <c r="H25" s="10"/>
      <c r="I25" s="10"/>
      <c r="J25" s="1"/>
    </row>
    <row r="26" ht="21.75" customHeight="1">
      <c r="A26" s="1"/>
      <c r="B26" s="10"/>
      <c r="C26" s="10"/>
      <c r="D26" s="37"/>
      <c r="E26" s="37"/>
      <c r="F26" s="10"/>
      <c r="G26" s="10"/>
      <c r="H26" s="10"/>
      <c r="I26" s="10"/>
      <c r="J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ht="15.75" customHeight="1">
      <c r="A28" s="1"/>
      <c r="B28" s="30" t="s">
        <v>228</v>
      </c>
      <c r="C28" s="31"/>
      <c r="D28" s="31"/>
      <c r="E28" s="31"/>
      <c r="F28" s="31"/>
      <c r="G28" s="31"/>
      <c r="H28" s="31"/>
      <c r="I28" s="32"/>
      <c r="J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</row>
  </sheetData>
  <mergeCells count="11">
    <mergeCell ref="B17:H17"/>
    <mergeCell ref="B18:H18"/>
    <mergeCell ref="B20:I20"/>
    <mergeCell ref="B28:I28"/>
    <mergeCell ref="B2:I2"/>
    <mergeCell ref="B3:I3"/>
    <mergeCell ref="B5:I5"/>
    <mergeCell ref="B12:C12"/>
    <mergeCell ref="B14:I14"/>
    <mergeCell ref="B15:H15"/>
    <mergeCell ref="B16:H16"/>
  </mergeCells>
  <dataValidations>
    <dataValidation type="list" allowBlank="1" showErrorMessage="1" sqref="C7:C11 C22:C26">
      <formula1>'_Lists'!$G$2:$G$11</formula1>
    </dataValidation>
    <dataValidation type="list" allowBlank="1" showErrorMessage="1" sqref="G22:G26">
      <formula1>'_Lists'!$A$2:$A$3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9A84C"/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4.0"/>
    <col customWidth="1" min="3" max="3" width="16.0"/>
    <col customWidth="1" min="4" max="4" width="14.0"/>
    <col customWidth="1" min="5" max="7" width="16.0"/>
    <col customWidth="1" min="8" max="8" width="14.0"/>
    <col customWidth="1" min="9" max="26" width="8.71"/>
  </cols>
  <sheetData>
    <row r="1" ht="7.5" customHeight="1">
      <c r="A1" s="1"/>
      <c r="B1" s="1"/>
      <c r="C1" s="1"/>
      <c r="D1" s="1"/>
      <c r="E1" s="1"/>
      <c r="F1" s="1"/>
      <c r="G1" s="1"/>
      <c r="H1" s="1"/>
      <c r="I1" s="1"/>
    </row>
    <row r="2" ht="48.0" customHeight="1">
      <c r="A2" s="1"/>
      <c r="B2" s="61" t="s">
        <v>229</v>
      </c>
      <c r="C2" s="3"/>
      <c r="D2" s="3"/>
      <c r="E2" s="3"/>
      <c r="F2" s="3"/>
      <c r="G2" s="3"/>
      <c r="H2" s="4"/>
      <c r="I2" s="1"/>
    </row>
    <row r="3" ht="19.5" customHeight="1">
      <c r="A3" s="1"/>
      <c r="B3" s="35" t="s">
        <v>230</v>
      </c>
      <c r="C3" s="3"/>
      <c r="D3" s="3"/>
      <c r="E3" s="3"/>
      <c r="F3" s="3"/>
      <c r="G3" s="3"/>
      <c r="H3" s="4"/>
      <c r="I3" s="1"/>
    </row>
    <row r="4" ht="7.5" customHeight="1">
      <c r="A4" s="1"/>
      <c r="B4" s="1"/>
      <c r="C4" s="1"/>
      <c r="D4" s="1"/>
      <c r="E4" s="1"/>
      <c r="F4" s="1"/>
      <c r="G4" s="1"/>
      <c r="H4" s="1"/>
      <c r="I4" s="1"/>
    </row>
    <row r="5" ht="21.75" customHeight="1">
      <c r="A5" s="1"/>
      <c r="B5" s="52" t="s">
        <v>231</v>
      </c>
      <c r="C5" s="3"/>
      <c r="D5" s="3"/>
      <c r="E5" s="3"/>
      <c r="F5" s="3"/>
      <c r="G5" s="3"/>
      <c r="H5" s="4"/>
      <c r="I5" s="1"/>
    </row>
    <row r="6" ht="19.5" customHeight="1">
      <c r="A6" s="1"/>
      <c r="B6" s="13" t="s">
        <v>232</v>
      </c>
      <c r="C6" s="13" t="s">
        <v>233</v>
      </c>
      <c r="D6" s="13" t="s">
        <v>234</v>
      </c>
      <c r="E6" s="13" t="s">
        <v>235</v>
      </c>
      <c r="F6" s="13" t="s">
        <v>236</v>
      </c>
      <c r="G6" s="13" t="s">
        <v>237</v>
      </c>
      <c r="H6" s="13" t="s">
        <v>70</v>
      </c>
      <c r="I6" s="1"/>
    </row>
    <row r="7" ht="25.5" customHeight="1">
      <c r="A7" s="1"/>
      <c r="B7" s="10"/>
      <c r="C7" s="10"/>
      <c r="D7" s="10"/>
      <c r="E7" s="37"/>
      <c r="F7" s="37"/>
      <c r="G7" s="38" t="str">
        <f t="shared" ref="G7:G14" si="1">IFERROR(IF(D7="","",ROUND((E7-F7)/MAX((D7-YEAR(TODAY()))*12,1),0)),"")</f>
        <v/>
      </c>
      <c r="H7" s="10"/>
      <c r="I7" s="1"/>
    </row>
    <row r="8" ht="25.5" customHeight="1">
      <c r="A8" s="1"/>
      <c r="B8" s="10"/>
      <c r="C8" s="10"/>
      <c r="D8" s="10"/>
      <c r="E8" s="37"/>
      <c r="F8" s="37"/>
      <c r="G8" s="38" t="str">
        <f t="shared" si="1"/>
        <v/>
      </c>
      <c r="H8" s="10"/>
      <c r="I8" s="1"/>
    </row>
    <row r="9" ht="25.5" customHeight="1">
      <c r="A9" s="1"/>
      <c r="B9" s="10"/>
      <c r="C9" s="10"/>
      <c r="D9" s="10"/>
      <c r="E9" s="37"/>
      <c r="F9" s="37"/>
      <c r="G9" s="38" t="str">
        <f t="shared" si="1"/>
        <v/>
      </c>
      <c r="H9" s="10"/>
      <c r="I9" s="1"/>
    </row>
    <row r="10" ht="25.5" customHeight="1">
      <c r="A10" s="1"/>
      <c r="B10" s="10"/>
      <c r="C10" s="10"/>
      <c r="D10" s="10"/>
      <c r="E10" s="37"/>
      <c r="F10" s="37"/>
      <c r="G10" s="38" t="str">
        <f t="shared" si="1"/>
        <v/>
      </c>
      <c r="H10" s="10"/>
      <c r="I10" s="1"/>
    </row>
    <row r="11" ht="25.5" customHeight="1">
      <c r="A11" s="1"/>
      <c r="B11" s="10"/>
      <c r="C11" s="10"/>
      <c r="D11" s="10"/>
      <c r="E11" s="37"/>
      <c r="F11" s="37"/>
      <c r="G11" s="38" t="str">
        <f t="shared" si="1"/>
        <v/>
      </c>
      <c r="H11" s="10"/>
      <c r="I11" s="1"/>
    </row>
    <row r="12" ht="25.5" customHeight="1">
      <c r="A12" s="1"/>
      <c r="B12" s="10"/>
      <c r="C12" s="10"/>
      <c r="D12" s="10"/>
      <c r="E12" s="37"/>
      <c r="F12" s="37"/>
      <c r="G12" s="38" t="str">
        <f t="shared" si="1"/>
        <v/>
      </c>
      <c r="H12" s="10"/>
      <c r="I12" s="1"/>
    </row>
    <row r="13" ht="25.5" customHeight="1">
      <c r="A13" s="1"/>
      <c r="B13" s="10"/>
      <c r="C13" s="10"/>
      <c r="D13" s="10"/>
      <c r="E13" s="37"/>
      <c r="F13" s="37"/>
      <c r="G13" s="38" t="str">
        <f t="shared" si="1"/>
        <v/>
      </c>
      <c r="H13" s="10"/>
      <c r="I13" s="1"/>
    </row>
    <row r="14" ht="25.5" customHeight="1">
      <c r="A14" s="1"/>
      <c r="B14" s="10"/>
      <c r="C14" s="10"/>
      <c r="D14" s="10"/>
      <c r="E14" s="37"/>
      <c r="F14" s="37"/>
      <c r="G14" s="38" t="str">
        <f t="shared" si="1"/>
        <v/>
      </c>
      <c r="H14" s="10"/>
      <c r="I14" s="1"/>
    </row>
    <row r="15" ht="27.75" customHeight="1">
      <c r="A15" s="1"/>
      <c r="B15" s="18" t="s">
        <v>238</v>
      </c>
      <c r="C15" s="16"/>
      <c r="D15" s="9"/>
      <c r="E15" s="54">
        <f>IFERROR(SUM(E7:E14),0)</f>
        <v>0</v>
      </c>
      <c r="F15" s="62"/>
      <c r="G15" s="40">
        <f>IFERROR(SUM(G7,G8,G9,G10,G11,G12,G13,G14),0)</f>
        <v>0</v>
      </c>
      <c r="H15" s="62"/>
      <c r="I15" s="1"/>
    </row>
    <row r="16" ht="7.5" customHeight="1">
      <c r="A16" s="1"/>
      <c r="B16" s="1"/>
      <c r="C16" s="1"/>
      <c r="D16" s="1"/>
      <c r="E16" s="1"/>
      <c r="F16" s="1"/>
      <c r="G16" s="1"/>
      <c r="H16" s="1"/>
      <c r="I16" s="1"/>
    </row>
    <row r="17" ht="21.75" customHeight="1">
      <c r="A17" s="1"/>
      <c r="B17" s="6" t="s">
        <v>239</v>
      </c>
      <c r="C17" s="3"/>
      <c r="D17" s="3"/>
      <c r="E17" s="3"/>
      <c r="F17" s="3"/>
      <c r="G17" s="3"/>
      <c r="H17" s="4"/>
      <c r="I17" s="1"/>
    </row>
    <row r="18" ht="19.5" customHeight="1">
      <c r="A18" s="1"/>
      <c r="B18" s="36" t="s">
        <v>240</v>
      </c>
      <c r="C18" s="36" t="s">
        <v>241</v>
      </c>
      <c r="D18" s="36" t="s">
        <v>188</v>
      </c>
      <c r="E18" s="36" t="s">
        <v>242</v>
      </c>
      <c r="F18" s="36" t="s">
        <v>243</v>
      </c>
      <c r="G18" s="36" t="s">
        <v>76</v>
      </c>
      <c r="H18" s="36" t="s">
        <v>244</v>
      </c>
      <c r="I18" s="1"/>
    </row>
    <row r="19" ht="24.0" customHeight="1">
      <c r="A19" s="1"/>
      <c r="B19" s="63" t="s">
        <v>245</v>
      </c>
      <c r="C19" s="10"/>
      <c r="D19" s="37"/>
      <c r="E19" s="10"/>
      <c r="F19" s="37"/>
      <c r="G19" s="10"/>
      <c r="H19" s="10"/>
      <c r="I19" s="1"/>
    </row>
    <row r="20" ht="24.0" customHeight="1">
      <c r="A20" s="1"/>
      <c r="B20" s="64" t="s">
        <v>246</v>
      </c>
      <c r="C20" s="10"/>
      <c r="D20" s="37"/>
      <c r="E20" s="10"/>
      <c r="F20" s="37"/>
      <c r="G20" s="10"/>
      <c r="H20" s="10"/>
      <c r="I20" s="1"/>
    </row>
    <row r="21" ht="24.0" customHeight="1">
      <c r="A21" s="1"/>
      <c r="B21" s="63" t="s">
        <v>247</v>
      </c>
      <c r="C21" s="10"/>
      <c r="D21" s="37"/>
      <c r="E21" s="10"/>
      <c r="F21" s="37"/>
      <c r="G21" s="10"/>
      <c r="H21" s="10"/>
      <c r="I21" s="1"/>
    </row>
    <row r="22" ht="24.0" customHeight="1">
      <c r="A22" s="1"/>
      <c r="B22" s="64" t="s">
        <v>248</v>
      </c>
      <c r="C22" s="10"/>
      <c r="D22" s="37"/>
      <c r="E22" s="10"/>
      <c r="F22" s="37"/>
      <c r="G22" s="10"/>
      <c r="H22" s="10"/>
      <c r="I22" s="1"/>
    </row>
    <row r="23" ht="24.0" customHeight="1">
      <c r="A23" s="1"/>
      <c r="B23" s="63" t="s">
        <v>249</v>
      </c>
      <c r="C23" s="10"/>
      <c r="D23" s="37"/>
      <c r="E23" s="10"/>
      <c r="F23" s="37"/>
      <c r="G23" s="10"/>
      <c r="H23" s="10"/>
      <c r="I23" s="1"/>
    </row>
    <row r="24" ht="24.0" customHeight="1">
      <c r="A24" s="1"/>
      <c r="B24" s="64" t="s">
        <v>250</v>
      </c>
      <c r="C24" s="10"/>
      <c r="D24" s="37"/>
      <c r="E24" s="10"/>
      <c r="F24" s="37"/>
      <c r="G24" s="10"/>
      <c r="H24" s="10"/>
      <c r="I24" s="1"/>
    </row>
    <row r="25" ht="24.0" customHeight="1">
      <c r="A25" s="1"/>
      <c r="B25" s="63" t="s">
        <v>251</v>
      </c>
      <c r="C25" s="10"/>
      <c r="D25" s="37"/>
      <c r="E25" s="10"/>
      <c r="F25" s="37"/>
      <c r="G25" s="10"/>
      <c r="H25" s="10"/>
      <c r="I25" s="1"/>
    </row>
    <row r="26" ht="24.0" customHeight="1">
      <c r="A26" s="1"/>
      <c r="B26" s="64" t="s">
        <v>252</v>
      </c>
      <c r="C26" s="10"/>
      <c r="D26" s="37"/>
      <c r="E26" s="10"/>
      <c r="F26" s="37"/>
      <c r="G26" s="10"/>
      <c r="H26" s="10"/>
      <c r="I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</row>
    <row r="28" ht="7.5" customHeight="1">
      <c r="A28" s="1"/>
      <c r="B28" s="1"/>
      <c r="C28" s="1"/>
      <c r="D28" s="1"/>
      <c r="E28" s="1"/>
      <c r="F28" s="1"/>
      <c r="G28" s="1"/>
      <c r="H28" s="1"/>
      <c r="I28" s="1"/>
    </row>
    <row r="29" ht="21.75" customHeight="1">
      <c r="A29" s="1"/>
      <c r="B29" s="11" t="s">
        <v>253</v>
      </c>
      <c r="C29" s="3"/>
      <c r="D29" s="3"/>
      <c r="E29" s="3"/>
      <c r="F29" s="3"/>
      <c r="G29" s="3"/>
      <c r="H29" s="4"/>
      <c r="I29" s="1"/>
    </row>
    <row r="30" ht="25.5" customHeight="1">
      <c r="A30" s="1"/>
      <c r="B30" s="28" t="s">
        <v>254</v>
      </c>
      <c r="C30" s="4"/>
      <c r="D30" s="8"/>
      <c r="E30" s="16"/>
      <c r="F30" s="16"/>
      <c r="G30" s="16"/>
      <c r="H30" s="9"/>
      <c r="I30" s="1"/>
    </row>
    <row r="31" ht="25.5" customHeight="1">
      <c r="A31" s="1"/>
      <c r="B31" s="57" t="s">
        <v>255</v>
      </c>
      <c r="C31" s="4"/>
      <c r="D31" s="8"/>
      <c r="E31" s="16"/>
      <c r="F31" s="16"/>
      <c r="G31" s="16"/>
      <c r="H31" s="9"/>
      <c r="I31" s="1"/>
    </row>
    <row r="32" ht="25.5" customHeight="1">
      <c r="A32" s="1"/>
      <c r="B32" s="28" t="s">
        <v>256</v>
      </c>
      <c r="C32" s="4"/>
      <c r="D32" s="8"/>
      <c r="E32" s="16"/>
      <c r="F32" s="16"/>
      <c r="G32" s="16"/>
      <c r="H32" s="9"/>
      <c r="I32" s="1"/>
    </row>
    <row r="33" ht="25.5" customHeight="1">
      <c r="A33" s="1"/>
      <c r="B33" s="57" t="s">
        <v>257</v>
      </c>
      <c r="C33" s="4"/>
      <c r="D33" s="8"/>
      <c r="E33" s="16"/>
      <c r="F33" s="16"/>
      <c r="G33" s="16"/>
      <c r="H33" s="9"/>
      <c r="I33" s="1"/>
    </row>
    <row r="34" ht="25.5" customHeight="1">
      <c r="A34" s="1"/>
      <c r="B34" s="28" t="s">
        <v>258</v>
      </c>
      <c r="C34" s="4"/>
      <c r="D34" s="8"/>
      <c r="E34" s="16"/>
      <c r="F34" s="16"/>
      <c r="G34" s="16"/>
      <c r="H34" s="9"/>
      <c r="I34" s="1"/>
    </row>
    <row r="35" ht="25.5" customHeight="1">
      <c r="A35" s="1"/>
      <c r="B35" s="57" t="s">
        <v>259</v>
      </c>
      <c r="C35" s="4"/>
      <c r="D35" s="8"/>
      <c r="E35" s="16"/>
      <c r="F35" s="16"/>
      <c r="G35" s="16"/>
      <c r="H35" s="9"/>
      <c r="I35" s="1"/>
    </row>
    <row r="36" ht="25.5" customHeight="1">
      <c r="A36" s="1"/>
      <c r="B36" s="28" t="s">
        <v>260</v>
      </c>
      <c r="C36" s="4"/>
      <c r="D36" s="8"/>
      <c r="E36" s="16"/>
      <c r="F36" s="16"/>
      <c r="G36" s="16"/>
      <c r="H36" s="9"/>
      <c r="I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</row>
    <row r="38" ht="36.0" customHeight="1">
      <c r="A38" s="1"/>
      <c r="B38" s="65" t="s">
        <v>261</v>
      </c>
      <c r="C38" s="3"/>
      <c r="D38" s="4"/>
      <c r="E38" s="65" t="s">
        <v>262</v>
      </c>
      <c r="F38" s="3"/>
      <c r="G38" s="3"/>
      <c r="H38" s="4"/>
      <c r="I38" s="1"/>
    </row>
    <row r="39" ht="15.75" customHeight="1">
      <c r="A39" s="1"/>
      <c r="B39" s="30" t="s">
        <v>263</v>
      </c>
      <c r="C39" s="31"/>
      <c r="D39" s="31"/>
      <c r="E39" s="31"/>
      <c r="F39" s="31"/>
      <c r="G39" s="31"/>
      <c r="H39" s="32"/>
      <c r="I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</row>
  </sheetData>
  <mergeCells count="23">
    <mergeCell ref="B30:C30"/>
    <mergeCell ref="B31:C31"/>
    <mergeCell ref="B32:C32"/>
    <mergeCell ref="B33:C33"/>
    <mergeCell ref="B34:C34"/>
    <mergeCell ref="B35:C35"/>
    <mergeCell ref="B36:C36"/>
    <mergeCell ref="B38:D38"/>
    <mergeCell ref="D31:H31"/>
    <mergeCell ref="D32:H32"/>
    <mergeCell ref="D33:H33"/>
    <mergeCell ref="D34:H34"/>
    <mergeCell ref="D35:H35"/>
    <mergeCell ref="D36:H36"/>
    <mergeCell ref="E38:H38"/>
    <mergeCell ref="B39:H39"/>
    <mergeCell ref="B2:H2"/>
    <mergeCell ref="B3:H3"/>
    <mergeCell ref="B5:H5"/>
    <mergeCell ref="B15:D15"/>
    <mergeCell ref="B17:H17"/>
    <mergeCell ref="B29:H29"/>
    <mergeCell ref="D30:H30"/>
  </mergeCells>
  <dataValidations>
    <dataValidation type="list" allowBlank="1" showErrorMessage="1" sqref="D30">
      <formula1>'_Lists'!$K$2:$K$7</formula1>
    </dataValidation>
    <dataValidation type="list" allowBlank="1" showErrorMessage="1" sqref="H7:H14">
      <formula1>'_Lists'!$L$2:$L$6</formula1>
    </dataValidation>
    <dataValidation type="list" allowBlank="1" showErrorMessage="1" sqref="D34">
      <formula1>'_Lists'!$O$2:$O$8</formula1>
    </dataValidation>
    <dataValidation type="list" allowBlank="1" showErrorMessage="1" sqref="G19:G26">
      <formula1>'_Lists'!$R$2:$R$6</formula1>
    </dataValidation>
    <dataValidation type="list" allowBlank="1" showErrorMessage="1" sqref="D36">
      <formula1>'_Lists'!$P$2:$P$6</formula1>
    </dataValidation>
    <dataValidation type="list" allowBlank="1" showErrorMessage="1" sqref="C7:C14">
      <formula1>'_Lists'!$H$2:$H$11</formula1>
    </dataValidation>
    <dataValidation type="list" allowBlank="1" showErrorMessage="1" sqref="D31">
      <formula1>'_Lists'!$N$2:$N$8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2026-06-02T03:55:16Z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